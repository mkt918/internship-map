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徒データ" sheetId="1" state="visible" r:id="rId1"/>
    <sheet xmlns:r="http://schemas.openxmlformats.org/officeDocument/2006/relationships" name="全日程一覧" sheetId="2" state="visible" r:id="rId2"/>
    <sheet xmlns:r="http://schemas.openxmlformats.org/officeDocument/2006/relationships" name="7-27月_教員1" sheetId="3" state="visible" r:id="rId3"/>
    <sheet xmlns:r="http://schemas.openxmlformats.org/officeDocument/2006/relationships" name="7-27月_教員2" sheetId="4" state="visible" r:id="rId4"/>
    <sheet xmlns:r="http://schemas.openxmlformats.org/officeDocument/2006/relationships" name="7-27月_教員3" sheetId="5" state="visible" r:id="rId5"/>
    <sheet xmlns:r="http://schemas.openxmlformats.org/officeDocument/2006/relationships" name="7-28火_教員1" sheetId="6" state="visible" r:id="rId6"/>
    <sheet xmlns:r="http://schemas.openxmlformats.org/officeDocument/2006/relationships" name="7-28火_教員2" sheetId="7" state="visible" r:id="rId7"/>
    <sheet xmlns:r="http://schemas.openxmlformats.org/officeDocument/2006/relationships" name="7-28火_教員3" sheetId="8" state="visible" r:id="rId8"/>
    <sheet xmlns:r="http://schemas.openxmlformats.org/officeDocument/2006/relationships" name="7-29水_教員1" sheetId="9" state="visible" r:id="rId9"/>
    <sheet xmlns:r="http://schemas.openxmlformats.org/officeDocument/2006/relationships" name="7-29水_教員2" sheetId="10" state="visible" r:id="rId10"/>
    <sheet xmlns:r="http://schemas.openxmlformats.org/officeDocument/2006/relationships" name="7-29水_教員3" sheetId="11" state="visible" r:id="rId11"/>
    <sheet xmlns:r="http://schemas.openxmlformats.org/officeDocument/2006/relationships" name="7-29水_教員4" sheetId="12" state="visible" r:id="rId12"/>
    <sheet xmlns:r="http://schemas.openxmlformats.org/officeDocument/2006/relationships" name="7-30木_教員1" sheetId="13" state="visible" r:id="rId13"/>
    <sheet xmlns:r="http://schemas.openxmlformats.org/officeDocument/2006/relationships" name="7-30木_教員2" sheetId="14" state="visible" r:id="rId14"/>
    <sheet xmlns:r="http://schemas.openxmlformats.org/officeDocument/2006/relationships" name="7-30木_教員3" sheetId="15" state="visible" r:id="rId15"/>
    <sheet xmlns:r="http://schemas.openxmlformats.org/officeDocument/2006/relationships" name="7-30木_教員4" sheetId="16" state="visible" r:id="rId16"/>
    <sheet xmlns:r="http://schemas.openxmlformats.org/officeDocument/2006/relationships" name="7-31金_教員1" sheetId="17" state="visible" r:id="rId17"/>
    <sheet xmlns:r="http://schemas.openxmlformats.org/officeDocument/2006/relationships" name="7-31金_教員2" sheetId="18" state="visible" r:id="rId18"/>
    <sheet xmlns:r="http://schemas.openxmlformats.org/officeDocument/2006/relationships" name="7-31金_教員3" sheetId="19" state="visible" r:id="rId19"/>
    <sheet xmlns:r="http://schemas.openxmlformats.org/officeDocument/2006/relationships" name="7-31金_教員4" sheetId="20" state="visible" r:id="rId20"/>
    <sheet xmlns:r="http://schemas.openxmlformats.org/officeDocument/2006/relationships" name="8-24月_教員1" sheetId="21" state="visible" r:id="rId21"/>
    <sheet xmlns:r="http://schemas.openxmlformats.org/officeDocument/2006/relationships" name="8-24月_教員2" sheetId="22" state="visible" r:id="rId22"/>
    <sheet xmlns:r="http://schemas.openxmlformats.org/officeDocument/2006/relationships" name="8-24月_教員3" sheetId="23" state="visible" r:id="rId23"/>
    <sheet xmlns:r="http://schemas.openxmlformats.org/officeDocument/2006/relationships" name="8-25火_教員1" sheetId="24" state="visible" r:id="rId24"/>
    <sheet xmlns:r="http://schemas.openxmlformats.org/officeDocument/2006/relationships" name="8-25火_教員2" sheetId="25" state="visible" r:id="rId25"/>
    <sheet xmlns:r="http://schemas.openxmlformats.org/officeDocument/2006/relationships" name="8-25火_教員3" sheetId="26" state="visible" r:id="rId26"/>
    <sheet xmlns:r="http://schemas.openxmlformats.org/officeDocument/2006/relationships" name="8-26水_教員1" sheetId="27" state="visible" r:id="rId27"/>
    <sheet xmlns:r="http://schemas.openxmlformats.org/officeDocument/2006/relationships" name="8-26水_教員2" sheetId="28" state="visible" r:id="rId28"/>
    <sheet xmlns:r="http://schemas.openxmlformats.org/officeDocument/2006/relationships" name="8-26水_教員3" sheetId="29" state="visible" r:id="rId29"/>
    <sheet xmlns:r="http://schemas.openxmlformats.org/officeDocument/2006/relationships" name="8-26水_教員4" sheetId="30" state="visible" r:id="rId30"/>
    <sheet xmlns:r="http://schemas.openxmlformats.org/officeDocument/2006/relationships" name="8-27木_教員1" sheetId="31" state="visible" r:id="rId31"/>
    <sheet xmlns:r="http://schemas.openxmlformats.org/officeDocument/2006/relationships" name="8-27木_教員2" sheetId="32" state="visible" r:id="rId32"/>
    <sheet xmlns:r="http://schemas.openxmlformats.org/officeDocument/2006/relationships" name="8-28金_教員1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Meiryo"/>
      <b val="1"/>
      <color rgb="00FFFFFF"/>
      <sz val="13"/>
    </font>
    <font>
      <name val="Meiryo"/>
      <b val="1"/>
      <color rgb="00FFFFFF"/>
      <sz val="9"/>
    </font>
    <font>
      <name val="Meiryo"/>
      <color rgb="00333333"/>
      <sz val="9"/>
    </font>
    <font>
      <name val="Meiryo"/>
      <color rgb="001A3A5C"/>
      <sz val="10"/>
    </font>
    <font>
      <name val="Meiryo"/>
      <b val="1"/>
      <color rgb="00FFFFFF"/>
      <sz val="14"/>
    </font>
    <font>
      <name val="Meiryo"/>
      <b val="1"/>
      <color rgb="00A94442"/>
      <sz val="9"/>
    </font>
    <font>
      <name val="Meiryo"/>
      <b val="1"/>
      <color rgb="00FFFFFF"/>
      <sz val="10"/>
    </font>
    <font>
      <name val="Meiryo"/>
      <b val="1"/>
      <color rgb="001A3A5C"/>
      <sz val="10"/>
    </font>
    <font>
      <name val="Meiryo"/>
      <color rgb="00000000"/>
      <sz val="9"/>
    </font>
    <font>
      <name val="Meiryo"/>
      <color rgb="00555555"/>
      <sz val="8"/>
    </font>
    <font>
      <name val="Meiryo"/>
      <color rgb="00333333"/>
      <sz val="8"/>
    </font>
    <font>
      <name val="Meiryo"/>
      <b val="1"/>
      <color rgb="00333333"/>
      <sz val="10"/>
    </font>
    <font>
      <name val="Meiryo"/>
      <b val="1"/>
      <color rgb="001A3A5C"/>
      <sz val="12"/>
    </font>
    <font>
      <name val="Meiryo"/>
      <color rgb="00A94442"/>
      <sz val="8"/>
    </font>
    <font>
      <name val="Meiryo"/>
      <color rgb="001A3A5C"/>
      <sz val="9"/>
    </font>
    <font>
      <name val="Meiryo"/>
      <color rgb="00666666"/>
      <sz val="8"/>
    </font>
    <font>
      <name val="Meiryo"/>
      <b val="1"/>
      <color rgb="00333333"/>
      <sz val="9"/>
    </font>
  </fonts>
  <fills count="1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D5A8E"/>
      </patternFill>
    </fill>
    <fill>
      <patternFill patternType="solid">
        <fgColor rgb="00FFFFFF"/>
      </patternFill>
    </fill>
    <fill>
      <patternFill patternType="solid">
        <fgColor rgb="00FDEBD0"/>
      </patternFill>
    </fill>
    <fill>
      <patternFill patternType="solid">
        <fgColor rgb="00C0392B"/>
      </patternFill>
    </fill>
    <fill>
      <patternFill patternType="solid">
        <fgColor rgb="002471A3"/>
      </patternFill>
    </fill>
    <fill>
      <patternFill patternType="solid">
        <fgColor rgb="00F0F4FA"/>
      </patternFill>
    </fill>
    <fill>
      <patternFill patternType="solid">
        <fgColor rgb="001E8449"/>
      </patternFill>
    </fill>
    <fill>
      <patternFill patternType="solid">
        <fgColor rgb="00D6E4F0"/>
      </patternFill>
    </fill>
    <fill>
      <patternFill patternType="solid">
        <fgColor rgb="00D68910"/>
      </patternFill>
    </fill>
    <fill>
      <patternFill patternType="solid">
        <fgColor rgb="00EEEEEE"/>
      </patternFill>
    </fill>
    <fill>
      <patternFill patternType="solid">
        <fgColor rgb="00FFF9C4"/>
      </patternFill>
    </fill>
    <fill>
      <patternFill patternType="solid">
        <fgColor rgb="00E8E8E8"/>
      </patternFill>
    </fill>
    <fill>
      <patternFill patternType="solid">
        <fgColor rgb="007F8C8D"/>
      </patternFill>
    </fill>
  </fills>
  <borders count="8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1A3A5C"/>
      </left>
      <right style="thin">
        <color rgb="00CCCCCC"/>
      </right>
      <top style="medium">
        <color rgb="001A3A5C"/>
      </top>
      <bottom style="medium">
        <color rgb="001A3A5C"/>
      </bottom>
    </border>
    <border>
      <left style="medium">
        <color rgb="00E0A800"/>
      </left>
      <right style="medium">
        <color rgb="00E0A800"/>
      </right>
      <top style="medium">
        <color rgb="00E0A800"/>
      </top>
      <bottom style="medium">
        <color rgb="00E0A800"/>
      </bottom>
    </border>
    <border>
      <left style="medium">
        <color rgb="00C0392B"/>
      </left>
      <right style="thin">
        <color rgb="00CCCCCC"/>
      </right>
      <top style="medium">
        <color rgb="00C0392B"/>
      </top>
      <bottom style="medium">
        <color rgb="00C0392B"/>
      </bottom>
    </border>
    <border>
      <left style="medium">
        <color rgb="002471A3"/>
      </left>
      <right style="thin">
        <color rgb="00CCCCCC"/>
      </right>
      <top style="medium">
        <color rgb="002471A3"/>
      </top>
      <bottom style="medium">
        <color rgb="002471A3"/>
      </bottom>
    </border>
    <border>
      <left style="medium">
        <color rgb="001E8449"/>
      </left>
      <right style="thin">
        <color rgb="00CCCCCC"/>
      </right>
      <top style="medium">
        <color rgb="001E8449"/>
      </top>
      <bottom style="medium">
        <color rgb="001E8449"/>
      </bottom>
    </border>
    <border>
      <left style="medium">
        <color rgb="00D68910"/>
      </left>
      <right style="thin">
        <color rgb="00CCCCCC"/>
      </right>
      <top style="medium">
        <color rgb="00D68910"/>
      </top>
      <bottom style="medium">
        <color rgb="00D6891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4" fillId="5" borderId="0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7" fillId="14" borderId="1" applyAlignment="1" pivotButton="0" quotePrefix="0" xfId="0">
      <alignment horizontal="center" vertical="center"/>
    </xf>
    <xf numFmtId="0" fontId="2" fillId="15" borderId="1" pivotButton="0" quotePrefix="0" xfId="0"/>
    <xf numFmtId="0" fontId="0" fillId="4" borderId="1" pivotButton="0" quotePrefix="0" xfId="0"/>
    <xf numFmtId="0" fontId="7" fillId="7" borderId="0" applyAlignment="1" pivotButton="0" quotePrefix="0" xfId="0">
      <alignment horizontal="center" vertical="center"/>
    </xf>
    <xf numFmtId="0" fontId="1" fillId="7" borderId="5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0" fontId="1" fillId="9" borderId="6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1" fillId="11" borderId="7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20" customWidth="1" min="5" max="5"/>
  </cols>
  <sheetData>
    <row r="1" ht="26" customHeight="1">
      <c r="A1" s="1" t="inlineStr">
        <is>
          <t>生徒データ（VLOOKUP参照用）</t>
        </is>
      </c>
    </row>
    <row r="2">
      <c r="A2" s="2" t="inlineStr">
        <is>
          <t>生徒ID</t>
        </is>
      </c>
      <c r="B2" s="2" t="inlineStr">
        <is>
          <t>学年</t>
        </is>
      </c>
      <c r="C2" s="2" t="inlineStr">
        <is>
          <t>組</t>
        </is>
      </c>
      <c r="D2" s="2" t="inlineStr">
        <is>
          <t>番号</t>
        </is>
      </c>
      <c r="E2" s="2" t="inlineStr">
        <is>
          <t>氏名（ここに入力）</t>
        </is>
      </c>
    </row>
    <row r="3">
      <c r="A3" s="3" t="inlineStr">
        <is>
          <t>1-5-1</t>
        </is>
      </c>
      <c r="B3" s="4" t="inlineStr">
        <is>
          <t>1</t>
        </is>
      </c>
      <c r="C3" s="4" t="inlineStr">
        <is>
          <t>5</t>
        </is>
      </c>
      <c r="D3" s="4" t="inlineStr">
        <is>
          <t>1</t>
        </is>
      </c>
      <c r="E3" s="5" t="inlineStr">
        <is>
          <t>浅野　心馨</t>
        </is>
      </c>
    </row>
    <row r="4">
      <c r="A4" s="3" t="inlineStr">
        <is>
          <t>1-5-2</t>
        </is>
      </c>
      <c r="B4" s="4" t="inlineStr">
        <is>
          <t>1</t>
        </is>
      </c>
      <c r="C4" s="4" t="inlineStr">
        <is>
          <t>5</t>
        </is>
      </c>
      <c r="D4" s="4" t="inlineStr">
        <is>
          <t>2</t>
        </is>
      </c>
      <c r="E4" s="5" t="inlineStr">
        <is>
          <t>茨木　まつり</t>
        </is>
      </c>
    </row>
    <row r="5">
      <c r="A5" s="3" t="inlineStr">
        <is>
          <t>1-5-3</t>
        </is>
      </c>
      <c r="B5" s="4" t="inlineStr">
        <is>
          <t>1</t>
        </is>
      </c>
      <c r="C5" s="4" t="inlineStr">
        <is>
          <t>5</t>
        </is>
      </c>
      <c r="D5" s="4" t="inlineStr">
        <is>
          <t>3</t>
        </is>
      </c>
      <c r="E5" s="5" t="inlineStr">
        <is>
          <t>今泉　美南</t>
        </is>
      </c>
    </row>
    <row r="6">
      <c r="A6" s="3" t="inlineStr">
        <is>
          <t>1-5-4</t>
        </is>
      </c>
      <c r="B6" s="4" t="inlineStr">
        <is>
          <t>1</t>
        </is>
      </c>
      <c r="C6" s="4" t="inlineStr">
        <is>
          <t>5</t>
        </is>
      </c>
      <c r="D6" s="4" t="inlineStr">
        <is>
          <t>4</t>
        </is>
      </c>
      <c r="E6" s="5" t="inlineStr">
        <is>
          <t>岩田　真奈</t>
        </is>
      </c>
    </row>
    <row r="7">
      <c r="A7" s="3" t="inlineStr">
        <is>
          <t>1-5-5</t>
        </is>
      </c>
      <c r="B7" s="4" t="inlineStr">
        <is>
          <t>1</t>
        </is>
      </c>
      <c r="C7" s="4" t="inlineStr">
        <is>
          <t>5</t>
        </is>
      </c>
      <c r="D7" s="4" t="inlineStr">
        <is>
          <t>5</t>
        </is>
      </c>
      <c r="E7" s="5" t="inlineStr">
        <is>
          <t>内田　釉亜</t>
        </is>
      </c>
    </row>
    <row r="8">
      <c r="A8" s="3" t="inlineStr">
        <is>
          <t>1-5-6</t>
        </is>
      </c>
      <c r="B8" s="4" t="inlineStr">
        <is>
          <t>1</t>
        </is>
      </c>
      <c r="C8" s="4" t="inlineStr">
        <is>
          <t>5</t>
        </is>
      </c>
      <c r="D8" s="4" t="inlineStr">
        <is>
          <t>6</t>
        </is>
      </c>
      <c r="E8" s="5" t="inlineStr">
        <is>
          <t>大西　彩愛</t>
        </is>
      </c>
    </row>
    <row r="9">
      <c r="A9" s="3" t="inlineStr">
        <is>
          <t>1-5-7</t>
        </is>
      </c>
      <c r="B9" s="4" t="inlineStr">
        <is>
          <t>1</t>
        </is>
      </c>
      <c r="C9" s="4" t="inlineStr">
        <is>
          <t>5</t>
        </is>
      </c>
      <c r="D9" s="4" t="inlineStr">
        <is>
          <t>7</t>
        </is>
      </c>
      <c r="E9" s="5" t="inlineStr">
        <is>
          <t>小倉　美紅</t>
        </is>
      </c>
    </row>
    <row r="10">
      <c r="A10" s="3" t="inlineStr">
        <is>
          <t>1-5-8</t>
        </is>
      </c>
      <c r="B10" s="4" t="inlineStr">
        <is>
          <t>1</t>
        </is>
      </c>
      <c r="C10" s="4" t="inlineStr">
        <is>
          <t>5</t>
        </is>
      </c>
      <c r="D10" s="4" t="inlineStr">
        <is>
          <t>8</t>
        </is>
      </c>
      <c r="E10" s="5" t="inlineStr">
        <is>
          <t>カイレス　カウアン</t>
        </is>
      </c>
    </row>
    <row r="11">
      <c r="A11" s="3" t="inlineStr">
        <is>
          <t>1-5-9</t>
        </is>
      </c>
      <c r="B11" s="4" t="inlineStr">
        <is>
          <t>1</t>
        </is>
      </c>
      <c r="C11" s="4" t="inlineStr">
        <is>
          <t>5</t>
        </is>
      </c>
      <c r="D11" s="4" t="inlineStr">
        <is>
          <t>9</t>
        </is>
      </c>
      <c r="E11" s="5" t="inlineStr">
        <is>
          <t>加藤　いづみ</t>
        </is>
      </c>
    </row>
    <row r="12">
      <c r="A12" s="3" t="inlineStr">
        <is>
          <t>1-5-10</t>
        </is>
      </c>
      <c r="B12" s="4" t="inlineStr">
        <is>
          <t>1</t>
        </is>
      </c>
      <c r="C12" s="4" t="inlineStr">
        <is>
          <t>5</t>
        </is>
      </c>
      <c r="D12" s="4" t="inlineStr">
        <is>
          <t>10</t>
        </is>
      </c>
      <c r="E12" s="5" t="inlineStr">
        <is>
          <t>河野　叶夢</t>
        </is>
      </c>
    </row>
    <row r="13">
      <c r="A13" s="3" t="inlineStr">
        <is>
          <t>1-5-11</t>
        </is>
      </c>
      <c r="B13" s="4" t="inlineStr">
        <is>
          <t>1</t>
        </is>
      </c>
      <c r="C13" s="4" t="inlineStr">
        <is>
          <t>5</t>
        </is>
      </c>
      <c r="D13" s="4" t="inlineStr">
        <is>
          <t>11</t>
        </is>
      </c>
      <c r="E13" s="5" t="inlineStr">
        <is>
          <t>駒田　ひな</t>
        </is>
      </c>
    </row>
    <row r="14">
      <c r="A14" s="3" t="inlineStr">
        <is>
          <t>1-5-12</t>
        </is>
      </c>
      <c r="B14" s="4" t="inlineStr">
        <is>
          <t>1</t>
        </is>
      </c>
      <c r="C14" s="4" t="inlineStr">
        <is>
          <t>5</t>
        </is>
      </c>
      <c r="D14" s="4" t="inlineStr">
        <is>
          <t>12</t>
        </is>
      </c>
      <c r="E14" s="5" t="inlineStr">
        <is>
          <t>近藤　瑠香</t>
        </is>
      </c>
    </row>
    <row r="15">
      <c r="A15" s="3" t="inlineStr">
        <is>
          <t>1-5-13</t>
        </is>
      </c>
      <c r="B15" s="4" t="inlineStr">
        <is>
          <t>1</t>
        </is>
      </c>
      <c r="C15" s="4" t="inlineStr">
        <is>
          <t>5</t>
        </is>
      </c>
      <c r="D15" s="4" t="inlineStr">
        <is>
          <t>13</t>
        </is>
      </c>
      <c r="E15" s="5" t="inlineStr">
        <is>
          <t>佐々　碧美</t>
        </is>
      </c>
    </row>
    <row r="16">
      <c r="A16" s="3" t="inlineStr">
        <is>
          <t>1-5-14</t>
        </is>
      </c>
      <c r="B16" s="4" t="inlineStr">
        <is>
          <t>1</t>
        </is>
      </c>
      <c r="C16" s="4" t="inlineStr">
        <is>
          <t>5</t>
        </is>
      </c>
      <c r="D16" s="4" t="inlineStr">
        <is>
          <t>14</t>
        </is>
      </c>
      <c r="E16" s="5" t="inlineStr">
        <is>
          <t>沢田　芽衣奈</t>
        </is>
      </c>
    </row>
    <row r="17">
      <c r="A17" s="3" t="inlineStr">
        <is>
          <t>1-5-15</t>
        </is>
      </c>
      <c r="B17" s="4" t="inlineStr">
        <is>
          <t>1</t>
        </is>
      </c>
      <c r="C17" s="4" t="inlineStr">
        <is>
          <t>5</t>
        </is>
      </c>
      <c r="D17" s="4" t="inlineStr">
        <is>
          <t>15</t>
        </is>
      </c>
      <c r="E17" s="5" t="inlineStr">
        <is>
          <t>清水　栞那</t>
        </is>
      </c>
    </row>
    <row r="18">
      <c r="A18" s="3" t="inlineStr">
        <is>
          <t>1-5-16</t>
        </is>
      </c>
      <c r="B18" s="4" t="inlineStr">
        <is>
          <t>1</t>
        </is>
      </c>
      <c r="C18" s="4" t="inlineStr">
        <is>
          <t>5</t>
        </is>
      </c>
      <c r="D18" s="4" t="inlineStr">
        <is>
          <t>16</t>
        </is>
      </c>
      <c r="E18" s="5" t="inlineStr">
        <is>
          <t>鈴木　琴梨</t>
        </is>
      </c>
    </row>
    <row r="19">
      <c r="A19" s="3" t="inlineStr">
        <is>
          <t>1-5-17</t>
        </is>
      </c>
      <c r="B19" s="4" t="inlineStr">
        <is>
          <t>1</t>
        </is>
      </c>
      <c r="C19" s="4" t="inlineStr">
        <is>
          <t>5</t>
        </is>
      </c>
      <c r="D19" s="4" t="inlineStr">
        <is>
          <t>17</t>
        </is>
      </c>
      <c r="E19" s="5" t="inlineStr">
        <is>
          <t>鈴木　紗柚</t>
        </is>
      </c>
    </row>
    <row r="20">
      <c r="A20" s="3" t="inlineStr">
        <is>
          <t>1-5-18</t>
        </is>
      </c>
      <c r="B20" s="4" t="inlineStr">
        <is>
          <t>1</t>
        </is>
      </c>
      <c r="C20" s="4" t="inlineStr">
        <is>
          <t>5</t>
        </is>
      </c>
      <c r="D20" s="4" t="inlineStr">
        <is>
          <t>18</t>
        </is>
      </c>
      <c r="E20" s="5" t="inlineStr">
        <is>
          <t>仙田　舞緒</t>
        </is>
      </c>
    </row>
    <row r="21">
      <c r="A21" s="3" t="inlineStr">
        <is>
          <t>1-5-19</t>
        </is>
      </c>
      <c r="B21" s="4" t="inlineStr">
        <is>
          <t>1</t>
        </is>
      </c>
      <c r="C21" s="4" t="inlineStr">
        <is>
          <t>5</t>
        </is>
      </c>
      <c r="D21" s="4" t="inlineStr">
        <is>
          <t>19</t>
        </is>
      </c>
      <c r="E21" s="5" t="inlineStr">
        <is>
          <t>髙木　梨緒奈</t>
        </is>
      </c>
    </row>
    <row r="22">
      <c r="A22" s="3" t="inlineStr">
        <is>
          <t>1-5-20</t>
        </is>
      </c>
      <c r="B22" s="4" t="inlineStr">
        <is>
          <t>1</t>
        </is>
      </c>
      <c r="C22" s="4" t="inlineStr">
        <is>
          <t>5</t>
        </is>
      </c>
      <c r="D22" s="4" t="inlineStr">
        <is>
          <t>20</t>
        </is>
      </c>
      <c r="E22" s="5" t="inlineStr">
        <is>
          <t>高山　美波</t>
        </is>
      </c>
    </row>
    <row r="23">
      <c r="A23" s="3" t="inlineStr">
        <is>
          <t>1-5-21</t>
        </is>
      </c>
      <c r="B23" s="4" t="inlineStr">
        <is>
          <t>1</t>
        </is>
      </c>
      <c r="C23" s="4" t="inlineStr">
        <is>
          <t>5</t>
        </is>
      </c>
      <c r="D23" s="4" t="inlineStr">
        <is>
          <t>21</t>
        </is>
      </c>
      <c r="E23" s="5" t="inlineStr">
        <is>
          <t>田代　あや</t>
        </is>
      </c>
    </row>
    <row r="24">
      <c r="A24" s="3" t="inlineStr">
        <is>
          <t>1-5-22</t>
        </is>
      </c>
      <c r="B24" s="4" t="inlineStr">
        <is>
          <t>1</t>
        </is>
      </c>
      <c r="C24" s="4" t="inlineStr">
        <is>
          <t>5</t>
        </is>
      </c>
      <c r="D24" s="4" t="inlineStr">
        <is>
          <t>22</t>
        </is>
      </c>
      <c r="E24" s="5" t="inlineStr">
        <is>
          <t>舘　ひゆか</t>
        </is>
      </c>
    </row>
    <row r="25">
      <c r="A25" s="3" t="inlineStr">
        <is>
          <t>1-5-23</t>
        </is>
      </c>
      <c r="B25" s="4" t="inlineStr">
        <is>
          <t>1</t>
        </is>
      </c>
      <c r="C25" s="4" t="inlineStr">
        <is>
          <t>5</t>
        </is>
      </c>
      <c r="D25" s="4" t="inlineStr">
        <is>
          <t>23</t>
        </is>
      </c>
      <c r="E25" s="5" t="inlineStr">
        <is>
          <t>田本　美優</t>
        </is>
      </c>
    </row>
    <row r="26">
      <c r="A26" s="3" t="inlineStr">
        <is>
          <t>1-5-24</t>
        </is>
      </c>
      <c r="B26" s="4" t="inlineStr">
        <is>
          <t>1</t>
        </is>
      </c>
      <c r="C26" s="4" t="inlineStr">
        <is>
          <t>5</t>
        </is>
      </c>
      <c r="D26" s="4" t="inlineStr">
        <is>
          <t>24</t>
        </is>
      </c>
      <c r="E26" s="5" t="inlineStr">
        <is>
          <t>長井　柚香</t>
        </is>
      </c>
    </row>
    <row r="27">
      <c r="A27" s="3" t="inlineStr">
        <is>
          <t>1-5-25</t>
        </is>
      </c>
      <c r="B27" s="4" t="inlineStr">
        <is>
          <t>1</t>
        </is>
      </c>
      <c r="C27" s="4" t="inlineStr">
        <is>
          <t>5</t>
        </is>
      </c>
      <c r="D27" s="4" t="inlineStr">
        <is>
          <t>25</t>
        </is>
      </c>
      <c r="E27" s="5" t="inlineStr">
        <is>
          <t>長坂　奈々美</t>
        </is>
      </c>
    </row>
    <row r="28">
      <c r="A28" s="3" t="inlineStr">
        <is>
          <t>1-5-26</t>
        </is>
      </c>
      <c r="B28" s="4" t="inlineStr">
        <is>
          <t>1</t>
        </is>
      </c>
      <c r="C28" s="4" t="inlineStr">
        <is>
          <t>5</t>
        </is>
      </c>
      <c r="D28" s="4" t="inlineStr">
        <is>
          <t>26</t>
        </is>
      </c>
      <c r="E28" s="5" t="inlineStr">
        <is>
          <t>丹羽　悠</t>
        </is>
      </c>
    </row>
    <row r="29">
      <c r="A29" s="3" t="inlineStr">
        <is>
          <t>1-5-27</t>
        </is>
      </c>
      <c r="B29" s="4" t="inlineStr">
        <is>
          <t>1</t>
        </is>
      </c>
      <c r="C29" s="4" t="inlineStr">
        <is>
          <t>5</t>
        </is>
      </c>
      <c r="D29" s="4" t="inlineStr">
        <is>
          <t>27</t>
        </is>
      </c>
      <c r="E29" s="5" t="inlineStr">
        <is>
          <t>丹羽　福寧</t>
        </is>
      </c>
    </row>
    <row r="30">
      <c r="A30" s="3" t="inlineStr">
        <is>
          <t>1-5-28</t>
        </is>
      </c>
      <c r="B30" s="4" t="inlineStr">
        <is>
          <t>1</t>
        </is>
      </c>
      <c r="C30" s="4" t="inlineStr">
        <is>
          <t>5</t>
        </is>
      </c>
      <c r="D30" s="4" t="inlineStr">
        <is>
          <t>28</t>
        </is>
      </c>
      <c r="E30" s="5" t="inlineStr">
        <is>
          <t>納富　ももな</t>
        </is>
      </c>
    </row>
    <row r="31">
      <c r="A31" s="3" t="inlineStr">
        <is>
          <t>1-5-29</t>
        </is>
      </c>
      <c r="B31" s="4" t="inlineStr">
        <is>
          <t>1</t>
        </is>
      </c>
      <c r="C31" s="4" t="inlineStr">
        <is>
          <t>5</t>
        </is>
      </c>
      <c r="D31" s="4" t="inlineStr">
        <is>
          <t>29</t>
        </is>
      </c>
      <c r="E31" s="5" t="inlineStr">
        <is>
          <t>長谷川　璃央</t>
        </is>
      </c>
    </row>
    <row r="32">
      <c r="A32" s="3" t="inlineStr">
        <is>
          <t>1-5-30</t>
        </is>
      </c>
      <c r="B32" s="4" t="inlineStr">
        <is>
          <t>1</t>
        </is>
      </c>
      <c r="C32" s="4" t="inlineStr">
        <is>
          <t>5</t>
        </is>
      </c>
      <c r="D32" s="4" t="inlineStr">
        <is>
          <t>30</t>
        </is>
      </c>
      <c r="E32" s="5" t="inlineStr">
        <is>
          <t>林　優花</t>
        </is>
      </c>
    </row>
    <row r="33">
      <c r="A33" s="3" t="inlineStr">
        <is>
          <t>1-5-31</t>
        </is>
      </c>
      <c r="B33" s="4" t="inlineStr">
        <is>
          <t>1</t>
        </is>
      </c>
      <c r="C33" s="4" t="inlineStr">
        <is>
          <t>5</t>
        </is>
      </c>
      <c r="D33" s="4" t="inlineStr">
        <is>
          <t>31</t>
        </is>
      </c>
      <c r="E33" s="5" t="inlineStr">
        <is>
          <t>松井　結愛</t>
        </is>
      </c>
    </row>
    <row r="34">
      <c r="A34" s="3" t="inlineStr">
        <is>
          <t>1-5-32</t>
        </is>
      </c>
      <c r="B34" s="4" t="inlineStr">
        <is>
          <t>1</t>
        </is>
      </c>
      <c r="C34" s="4" t="inlineStr">
        <is>
          <t>5</t>
        </is>
      </c>
      <c r="D34" s="4" t="inlineStr">
        <is>
          <t>32</t>
        </is>
      </c>
      <c r="E34" s="5" t="inlineStr">
        <is>
          <t>松尾　実里</t>
        </is>
      </c>
    </row>
    <row r="35">
      <c r="A35" s="3" t="inlineStr">
        <is>
          <t>1-5-33</t>
        </is>
      </c>
      <c r="B35" s="4" t="inlineStr">
        <is>
          <t>1</t>
        </is>
      </c>
      <c r="C35" s="4" t="inlineStr">
        <is>
          <t>5</t>
        </is>
      </c>
      <c r="D35" s="4" t="inlineStr">
        <is>
          <t>33</t>
        </is>
      </c>
      <c r="E35" s="5" t="inlineStr">
        <is>
          <t>丸山　莉奈</t>
        </is>
      </c>
    </row>
    <row r="36">
      <c r="A36" s="3" t="inlineStr">
        <is>
          <t>1-5-34</t>
        </is>
      </c>
      <c r="B36" s="4" t="inlineStr">
        <is>
          <t>1</t>
        </is>
      </c>
      <c r="C36" s="4" t="inlineStr">
        <is>
          <t>5</t>
        </is>
      </c>
      <c r="D36" s="4" t="inlineStr">
        <is>
          <t>34</t>
        </is>
      </c>
      <c r="E36" s="5" t="inlineStr">
        <is>
          <t>毛利　虹都</t>
        </is>
      </c>
    </row>
    <row r="37">
      <c r="A37" s="3" t="inlineStr">
        <is>
          <t>1-5-35</t>
        </is>
      </c>
      <c r="B37" s="4" t="inlineStr">
        <is>
          <t>1</t>
        </is>
      </c>
      <c r="C37" s="4" t="inlineStr">
        <is>
          <t>5</t>
        </is>
      </c>
      <c r="D37" s="4" t="inlineStr">
        <is>
          <t>35</t>
        </is>
      </c>
      <c r="E37" s="5" t="inlineStr">
        <is>
          <t>森　莞介</t>
        </is>
      </c>
    </row>
    <row r="38">
      <c r="A38" s="3" t="inlineStr">
        <is>
          <t>1-5-36</t>
        </is>
      </c>
      <c r="B38" s="4" t="inlineStr">
        <is>
          <t>1</t>
        </is>
      </c>
      <c r="C38" s="4" t="inlineStr">
        <is>
          <t>5</t>
        </is>
      </c>
      <c r="D38" s="4" t="inlineStr">
        <is>
          <t>36</t>
        </is>
      </c>
      <c r="E38" s="5" t="inlineStr">
        <is>
          <t>森　こころ</t>
        </is>
      </c>
    </row>
    <row r="39">
      <c r="A39" s="3" t="inlineStr">
        <is>
          <t>1-5-37</t>
        </is>
      </c>
      <c r="B39" s="4" t="inlineStr">
        <is>
          <t>1</t>
        </is>
      </c>
      <c r="C39" s="4" t="inlineStr">
        <is>
          <t>5</t>
        </is>
      </c>
      <c r="D39" s="4" t="inlineStr">
        <is>
          <t>37</t>
        </is>
      </c>
      <c r="E39" s="5" t="inlineStr">
        <is>
          <t>湯浅　怜</t>
        </is>
      </c>
    </row>
    <row r="40">
      <c r="A40" s="3" t="inlineStr">
        <is>
          <t>1-5-38</t>
        </is>
      </c>
      <c r="B40" s="4" t="inlineStr">
        <is>
          <t>1</t>
        </is>
      </c>
      <c r="C40" s="4" t="inlineStr">
        <is>
          <t>5</t>
        </is>
      </c>
      <c r="D40" s="4" t="inlineStr">
        <is>
          <t>38</t>
        </is>
      </c>
      <c r="E40" s="5" t="inlineStr">
        <is>
          <t>吉村　佳於実</t>
        </is>
      </c>
    </row>
    <row r="41">
      <c r="A41" s="3" t="inlineStr">
        <is>
          <t>1-5-39</t>
        </is>
      </c>
      <c r="B41" s="4" t="inlineStr">
        <is>
          <t>1</t>
        </is>
      </c>
      <c r="C41" s="4" t="inlineStr">
        <is>
          <t>5</t>
        </is>
      </c>
      <c r="D41" s="4" t="inlineStr">
        <is>
          <t>39</t>
        </is>
      </c>
      <c r="E41" s="5" t="inlineStr">
        <is>
          <t>米倉　陽斗</t>
        </is>
      </c>
    </row>
    <row r="42">
      <c r="A42" s="3" t="inlineStr">
        <is>
          <t>1-5-40</t>
        </is>
      </c>
      <c r="B42" s="4" t="inlineStr">
        <is>
          <t>1</t>
        </is>
      </c>
      <c r="C42" s="4" t="inlineStr">
        <is>
          <t>5</t>
        </is>
      </c>
      <c r="D42" s="4" t="inlineStr">
        <is>
          <t>40</t>
        </is>
      </c>
      <c r="E42" s="5" t="inlineStr">
        <is>
          <t>渡邊　凛音</t>
        </is>
      </c>
    </row>
    <row r="43">
      <c r="A43" s="3" t="inlineStr">
        <is>
          <t>2-1-1</t>
        </is>
      </c>
      <c r="B43" s="4" t="inlineStr">
        <is>
          <t>2</t>
        </is>
      </c>
      <c r="C43" s="4" t="inlineStr">
        <is>
          <t>1</t>
        </is>
      </c>
      <c r="D43" s="4" t="inlineStr">
        <is>
          <t>1</t>
        </is>
      </c>
      <c r="E43" s="5" t="inlineStr">
        <is>
          <t>青木　唯</t>
        </is>
      </c>
    </row>
    <row r="44">
      <c r="A44" s="3" t="inlineStr">
        <is>
          <t>2-1-2</t>
        </is>
      </c>
      <c r="B44" s="4" t="inlineStr">
        <is>
          <t>2</t>
        </is>
      </c>
      <c r="C44" s="4" t="inlineStr">
        <is>
          <t>1</t>
        </is>
      </c>
      <c r="D44" s="4" t="inlineStr">
        <is>
          <t>2</t>
        </is>
      </c>
      <c r="E44" s="5" t="inlineStr">
        <is>
          <t>市村　都胡</t>
        </is>
      </c>
    </row>
    <row r="45">
      <c r="A45" s="3" t="inlineStr">
        <is>
          <t>2-1-3</t>
        </is>
      </c>
      <c r="B45" s="4" t="inlineStr">
        <is>
          <t>2</t>
        </is>
      </c>
      <c r="C45" s="4" t="inlineStr">
        <is>
          <t>1</t>
        </is>
      </c>
      <c r="D45" s="4" t="inlineStr">
        <is>
          <t>3</t>
        </is>
      </c>
      <c r="E45" s="5" t="inlineStr">
        <is>
          <t>伊藤　陽向</t>
        </is>
      </c>
    </row>
    <row r="46">
      <c r="A46" s="3" t="inlineStr">
        <is>
          <t>2-1-4</t>
        </is>
      </c>
      <c r="B46" s="4" t="inlineStr">
        <is>
          <t>2</t>
        </is>
      </c>
      <c r="C46" s="4" t="inlineStr">
        <is>
          <t>1</t>
        </is>
      </c>
      <c r="D46" s="4" t="inlineStr">
        <is>
          <t>4</t>
        </is>
      </c>
      <c r="E46" s="5" t="inlineStr">
        <is>
          <t>岩田　妃里</t>
        </is>
      </c>
    </row>
    <row r="47">
      <c r="A47" s="3" t="inlineStr">
        <is>
          <t>2-1-5</t>
        </is>
      </c>
      <c r="B47" s="4" t="inlineStr">
        <is>
          <t>2</t>
        </is>
      </c>
      <c r="C47" s="4" t="inlineStr">
        <is>
          <t>1</t>
        </is>
      </c>
      <c r="D47" s="4" t="inlineStr">
        <is>
          <t>5</t>
        </is>
      </c>
      <c r="E47" s="5" t="inlineStr">
        <is>
          <t>岩本　大和</t>
        </is>
      </c>
    </row>
    <row r="48">
      <c r="A48" s="3" t="inlineStr">
        <is>
          <t>2-1-6</t>
        </is>
      </c>
      <c r="B48" s="4" t="inlineStr">
        <is>
          <t>2</t>
        </is>
      </c>
      <c r="C48" s="4" t="inlineStr">
        <is>
          <t>1</t>
        </is>
      </c>
      <c r="D48" s="4" t="inlineStr">
        <is>
          <t>6</t>
        </is>
      </c>
      <c r="E48" s="5" t="inlineStr">
        <is>
          <t>鵜飼　里桜</t>
        </is>
      </c>
    </row>
    <row r="49">
      <c r="A49" s="3" t="inlineStr">
        <is>
          <t>2-1-7</t>
        </is>
      </c>
      <c r="B49" s="4" t="inlineStr">
        <is>
          <t>2</t>
        </is>
      </c>
      <c r="C49" s="4" t="inlineStr">
        <is>
          <t>1</t>
        </is>
      </c>
      <c r="D49" s="4" t="inlineStr">
        <is>
          <t>7</t>
        </is>
      </c>
      <c r="E49" s="5" t="inlineStr">
        <is>
          <t>江端　彩花</t>
        </is>
      </c>
    </row>
    <row r="50">
      <c r="A50" s="3" t="inlineStr">
        <is>
          <t>2-1-8</t>
        </is>
      </c>
      <c r="B50" s="4" t="inlineStr">
        <is>
          <t>2</t>
        </is>
      </c>
      <c r="C50" s="4" t="inlineStr">
        <is>
          <t>1</t>
        </is>
      </c>
      <c r="D50" s="4" t="inlineStr">
        <is>
          <t>8</t>
        </is>
      </c>
      <c r="E50" s="5" t="inlineStr">
        <is>
          <t>川本　唯月</t>
        </is>
      </c>
    </row>
    <row r="51">
      <c r="A51" s="3" t="inlineStr">
        <is>
          <t>2-1-9</t>
        </is>
      </c>
      <c r="B51" s="4" t="inlineStr">
        <is>
          <t>2</t>
        </is>
      </c>
      <c r="C51" s="4" t="inlineStr">
        <is>
          <t>1</t>
        </is>
      </c>
      <c r="D51" s="4" t="inlineStr">
        <is>
          <t>9</t>
        </is>
      </c>
      <c r="E51" s="5" t="inlineStr">
        <is>
          <t>喜多川　美優</t>
        </is>
      </c>
    </row>
    <row r="52">
      <c r="A52" s="3" t="inlineStr">
        <is>
          <t>2-1-10</t>
        </is>
      </c>
      <c r="B52" s="4" t="inlineStr">
        <is>
          <t>2</t>
        </is>
      </c>
      <c r="C52" s="4" t="inlineStr">
        <is>
          <t>1</t>
        </is>
      </c>
      <c r="D52" s="4" t="inlineStr">
        <is>
          <t>10</t>
        </is>
      </c>
      <c r="E52" s="5" t="inlineStr">
        <is>
          <t>佐伯　大介</t>
        </is>
      </c>
    </row>
    <row r="53">
      <c r="A53" s="3" t="inlineStr">
        <is>
          <t>2-1-11</t>
        </is>
      </c>
      <c r="B53" s="4" t="inlineStr">
        <is>
          <t>2</t>
        </is>
      </c>
      <c r="C53" s="4" t="inlineStr">
        <is>
          <t>1</t>
        </is>
      </c>
      <c r="D53" s="4" t="inlineStr">
        <is>
          <t>11</t>
        </is>
      </c>
      <c r="E53" s="5" t="inlineStr">
        <is>
          <t>佐川　紅葉</t>
        </is>
      </c>
    </row>
    <row r="54">
      <c r="A54" s="3" t="inlineStr">
        <is>
          <t>2-1-12</t>
        </is>
      </c>
      <c r="B54" s="4" t="inlineStr">
        <is>
          <t>2</t>
        </is>
      </c>
      <c r="C54" s="4" t="inlineStr">
        <is>
          <t>1</t>
        </is>
      </c>
      <c r="D54" s="4" t="inlineStr">
        <is>
          <t>12</t>
        </is>
      </c>
      <c r="E54" s="5" t="inlineStr">
        <is>
          <t>佐藤　優羽</t>
        </is>
      </c>
    </row>
    <row r="55">
      <c r="A55" s="3" t="inlineStr">
        <is>
          <t>2-1-13</t>
        </is>
      </c>
      <c r="B55" s="4" t="inlineStr">
        <is>
          <t>2</t>
        </is>
      </c>
      <c r="C55" s="4" t="inlineStr">
        <is>
          <t>1</t>
        </is>
      </c>
      <c r="D55" s="4" t="inlineStr">
        <is>
          <t>13</t>
        </is>
      </c>
      <c r="E55" s="5" t="inlineStr">
        <is>
          <t>杉本　愛奈</t>
        </is>
      </c>
    </row>
    <row r="56">
      <c r="A56" s="3" t="inlineStr">
        <is>
          <t>2-1-14</t>
        </is>
      </c>
      <c r="B56" s="4" t="inlineStr">
        <is>
          <t>2</t>
        </is>
      </c>
      <c r="C56" s="4" t="inlineStr">
        <is>
          <t>1</t>
        </is>
      </c>
      <c r="D56" s="4" t="inlineStr">
        <is>
          <t>14</t>
        </is>
      </c>
      <c r="E56" s="5" t="inlineStr">
        <is>
          <t>髙木　琢也</t>
        </is>
      </c>
    </row>
    <row r="57">
      <c r="A57" s="3" t="inlineStr">
        <is>
          <t>2-1-15</t>
        </is>
      </c>
      <c r="B57" s="4" t="inlineStr">
        <is>
          <t>2</t>
        </is>
      </c>
      <c r="C57" s="4" t="inlineStr">
        <is>
          <t>1</t>
        </is>
      </c>
      <c r="D57" s="4" t="inlineStr">
        <is>
          <t>15</t>
        </is>
      </c>
      <c r="E57" s="5" t="inlineStr">
        <is>
          <t>高野　莉花</t>
        </is>
      </c>
    </row>
    <row r="58">
      <c r="A58" s="3" t="inlineStr">
        <is>
          <t>2-1-16</t>
        </is>
      </c>
      <c r="B58" s="4" t="inlineStr">
        <is>
          <t>2</t>
        </is>
      </c>
      <c r="C58" s="4" t="inlineStr">
        <is>
          <t>1</t>
        </is>
      </c>
      <c r="D58" s="4" t="inlineStr">
        <is>
          <t>16</t>
        </is>
      </c>
      <c r="E58" s="5" t="inlineStr">
        <is>
          <t>髙橋　結亜</t>
        </is>
      </c>
    </row>
    <row r="59">
      <c r="A59" s="3" t="inlineStr">
        <is>
          <t>2-1-17</t>
        </is>
      </c>
      <c r="B59" s="4" t="inlineStr">
        <is>
          <t>2</t>
        </is>
      </c>
      <c r="C59" s="4" t="inlineStr">
        <is>
          <t>1</t>
        </is>
      </c>
      <c r="D59" s="4" t="inlineStr">
        <is>
          <t>17</t>
        </is>
      </c>
      <c r="E59" s="5" t="inlineStr">
        <is>
          <t>竹田　愛美</t>
        </is>
      </c>
    </row>
    <row r="60">
      <c r="A60" s="3" t="inlineStr">
        <is>
          <t>2-1-18</t>
        </is>
      </c>
      <c r="B60" s="4" t="inlineStr">
        <is>
          <t>2</t>
        </is>
      </c>
      <c r="C60" s="4" t="inlineStr">
        <is>
          <t>1</t>
        </is>
      </c>
      <c r="D60" s="4" t="inlineStr">
        <is>
          <t>18</t>
        </is>
      </c>
      <c r="E60" s="5" t="inlineStr">
        <is>
          <t>土屋　紗織</t>
        </is>
      </c>
    </row>
    <row r="61">
      <c r="A61" s="3" t="inlineStr">
        <is>
          <t>2-1-19</t>
        </is>
      </c>
      <c r="B61" s="4" t="inlineStr">
        <is>
          <t>2</t>
        </is>
      </c>
      <c r="C61" s="4" t="inlineStr">
        <is>
          <t>1</t>
        </is>
      </c>
      <c r="D61" s="4" t="inlineStr">
        <is>
          <t>19</t>
        </is>
      </c>
      <c r="E61" s="5" t="inlineStr">
        <is>
          <t>中田　俊哉</t>
        </is>
      </c>
    </row>
    <row r="62">
      <c r="A62" s="3" t="inlineStr">
        <is>
          <t>2-1-20</t>
        </is>
      </c>
      <c r="B62" s="4" t="inlineStr">
        <is>
          <t>2</t>
        </is>
      </c>
      <c r="C62" s="4" t="inlineStr">
        <is>
          <t>1</t>
        </is>
      </c>
      <c r="D62" s="4" t="inlineStr">
        <is>
          <t>20</t>
        </is>
      </c>
      <c r="E62" s="5" t="inlineStr">
        <is>
          <t>中村　有沙</t>
        </is>
      </c>
    </row>
    <row r="63">
      <c r="A63" s="3" t="inlineStr">
        <is>
          <t>2-1-21</t>
        </is>
      </c>
      <c r="B63" s="4" t="inlineStr">
        <is>
          <t>2</t>
        </is>
      </c>
      <c r="C63" s="4" t="inlineStr">
        <is>
          <t>1</t>
        </is>
      </c>
      <c r="D63" s="4" t="inlineStr">
        <is>
          <t>21</t>
        </is>
      </c>
      <c r="E63" s="5" t="inlineStr">
        <is>
          <t>破石　愛実</t>
        </is>
      </c>
    </row>
    <row r="64">
      <c r="A64" s="3" t="inlineStr">
        <is>
          <t>2-1-22</t>
        </is>
      </c>
      <c r="B64" s="4" t="inlineStr">
        <is>
          <t>2</t>
        </is>
      </c>
      <c r="C64" s="4" t="inlineStr">
        <is>
          <t>1</t>
        </is>
      </c>
      <c r="D64" s="4" t="inlineStr">
        <is>
          <t>22</t>
        </is>
      </c>
      <c r="E64" s="5" t="inlineStr">
        <is>
          <t>濱　時光</t>
        </is>
      </c>
    </row>
    <row r="65">
      <c r="A65" s="3" t="inlineStr">
        <is>
          <t>2-1-23</t>
        </is>
      </c>
      <c r="B65" s="4" t="inlineStr">
        <is>
          <t>2</t>
        </is>
      </c>
      <c r="C65" s="4" t="inlineStr">
        <is>
          <t>1</t>
        </is>
      </c>
      <c r="D65" s="4" t="inlineStr">
        <is>
          <t>23</t>
        </is>
      </c>
      <c r="E65" s="5" t="inlineStr">
        <is>
          <t>繁昌　心春</t>
        </is>
      </c>
    </row>
    <row r="66">
      <c r="A66" s="3" t="inlineStr">
        <is>
          <t>2-1-24</t>
        </is>
      </c>
      <c r="B66" s="4" t="inlineStr">
        <is>
          <t>2</t>
        </is>
      </c>
      <c r="C66" s="4" t="inlineStr">
        <is>
          <t>1</t>
        </is>
      </c>
      <c r="D66" s="4" t="inlineStr">
        <is>
          <t>24</t>
        </is>
      </c>
      <c r="E66" s="5" t="inlineStr">
        <is>
          <t>前畑　ひなた</t>
        </is>
      </c>
    </row>
    <row r="67">
      <c r="A67" s="3" t="inlineStr">
        <is>
          <t>2-1-25</t>
        </is>
      </c>
      <c r="B67" s="4" t="inlineStr">
        <is>
          <t>2</t>
        </is>
      </c>
      <c r="C67" s="4" t="inlineStr">
        <is>
          <t>1</t>
        </is>
      </c>
      <c r="D67" s="4" t="inlineStr">
        <is>
          <t>25</t>
        </is>
      </c>
      <c r="E67" s="5" t="inlineStr">
        <is>
          <t>増田　結衣</t>
        </is>
      </c>
    </row>
    <row r="68">
      <c r="A68" s="3" t="inlineStr">
        <is>
          <t>2-1-26</t>
        </is>
      </c>
      <c r="B68" s="4" t="inlineStr">
        <is>
          <t>2</t>
        </is>
      </c>
      <c r="C68" s="4" t="inlineStr">
        <is>
          <t>1</t>
        </is>
      </c>
      <c r="D68" s="4" t="inlineStr">
        <is>
          <t>26</t>
        </is>
      </c>
      <c r="E68" s="5" t="inlineStr">
        <is>
          <t>間宮　千夏</t>
        </is>
      </c>
    </row>
    <row r="69">
      <c r="A69" s="3" t="inlineStr">
        <is>
          <t>2-1-27</t>
        </is>
      </c>
      <c r="B69" s="4" t="inlineStr">
        <is>
          <t>2</t>
        </is>
      </c>
      <c r="C69" s="4" t="inlineStr">
        <is>
          <t>1</t>
        </is>
      </c>
      <c r="D69" s="4" t="inlineStr">
        <is>
          <t>27</t>
        </is>
      </c>
      <c r="E69" s="5" t="inlineStr">
        <is>
          <t>水田　愛弓</t>
        </is>
      </c>
    </row>
    <row r="70">
      <c r="A70" s="3" t="inlineStr">
        <is>
          <t>2-1-28</t>
        </is>
      </c>
      <c r="B70" s="4" t="inlineStr">
        <is>
          <t>2</t>
        </is>
      </c>
      <c r="C70" s="4" t="inlineStr">
        <is>
          <t>1</t>
        </is>
      </c>
      <c r="D70" s="4" t="inlineStr">
        <is>
          <t>28</t>
        </is>
      </c>
      <c r="E70" s="5" t="inlineStr">
        <is>
          <t>水谷　心春</t>
        </is>
      </c>
    </row>
    <row r="71">
      <c r="A71" s="3" t="inlineStr">
        <is>
          <t>2-1-29</t>
        </is>
      </c>
      <c r="B71" s="4" t="inlineStr">
        <is>
          <t>2</t>
        </is>
      </c>
      <c r="C71" s="4" t="inlineStr">
        <is>
          <t>1</t>
        </is>
      </c>
      <c r="D71" s="4" t="inlineStr">
        <is>
          <t>29</t>
        </is>
      </c>
      <c r="E71" s="5" t="inlineStr">
        <is>
          <t>村瀬　常行</t>
        </is>
      </c>
    </row>
    <row r="72">
      <c r="A72" s="3" t="inlineStr">
        <is>
          <t>2-1-30</t>
        </is>
      </c>
      <c r="B72" s="4" t="inlineStr">
        <is>
          <t>2</t>
        </is>
      </c>
      <c r="C72" s="4" t="inlineStr">
        <is>
          <t>1</t>
        </is>
      </c>
      <c r="D72" s="4" t="inlineStr">
        <is>
          <t>30</t>
        </is>
      </c>
      <c r="E72" s="5" t="inlineStr">
        <is>
          <t>村瀬　はるか</t>
        </is>
      </c>
    </row>
    <row r="73">
      <c r="A73" s="3" t="inlineStr">
        <is>
          <t>2-1-31</t>
        </is>
      </c>
      <c r="B73" s="4" t="inlineStr">
        <is>
          <t>2</t>
        </is>
      </c>
      <c r="C73" s="4" t="inlineStr">
        <is>
          <t>1</t>
        </is>
      </c>
      <c r="D73" s="4" t="inlineStr">
        <is>
          <t>31</t>
        </is>
      </c>
      <c r="E73" s="5" t="inlineStr">
        <is>
          <t>安井　音色</t>
        </is>
      </c>
    </row>
    <row r="74">
      <c r="A74" s="3" t="inlineStr">
        <is>
          <t>2-1-32</t>
        </is>
      </c>
      <c r="B74" s="4" t="inlineStr">
        <is>
          <t>2</t>
        </is>
      </c>
      <c r="C74" s="4" t="inlineStr">
        <is>
          <t>1</t>
        </is>
      </c>
      <c r="D74" s="4" t="inlineStr">
        <is>
          <t>32</t>
        </is>
      </c>
      <c r="E74" s="5" t="inlineStr">
        <is>
          <t>山崎　尊生</t>
        </is>
      </c>
    </row>
    <row r="75">
      <c r="A75" s="3" t="inlineStr">
        <is>
          <t>2-1-33</t>
        </is>
      </c>
      <c r="B75" s="4" t="inlineStr">
        <is>
          <t>2</t>
        </is>
      </c>
      <c r="C75" s="4" t="inlineStr">
        <is>
          <t>1</t>
        </is>
      </c>
      <c r="D75" s="4" t="inlineStr">
        <is>
          <t>33</t>
        </is>
      </c>
      <c r="E75" s="5" t="inlineStr">
        <is>
          <t>山田　結愛</t>
        </is>
      </c>
    </row>
    <row r="76">
      <c r="A76" s="3" t="inlineStr">
        <is>
          <t>2-1-34</t>
        </is>
      </c>
      <c r="B76" s="4" t="inlineStr">
        <is>
          <t>2</t>
        </is>
      </c>
      <c r="C76" s="4" t="inlineStr">
        <is>
          <t>1</t>
        </is>
      </c>
      <c r="D76" s="4" t="inlineStr">
        <is>
          <t>34</t>
        </is>
      </c>
      <c r="E76" s="5" t="inlineStr">
        <is>
          <t>山本　周馬</t>
        </is>
      </c>
    </row>
    <row r="77">
      <c r="A77" s="3" t="inlineStr">
        <is>
          <t>2-1-35</t>
        </is>
      </c>
      <c r="B77" s="4" t="inlineStr">
        <is>
          <t>2</t>
        </is>
      </c>
      <c r="C77" s="4" t="inlineStr">
        <is>
          <t>1</t>
        </is>
      </c>
      <c r="D77" s="4" t="inlineStr">
        <is>
          <t>35</t>
        </is>
      </c>
      <c r="E77" s="5" t="inlineStr">
        <is>
          <t>山本　凛太朗</t>
        </is>
      </c>
    </row>
    <row r="78">
      <c r="A78" s="3" t="inlineStr">
        <is>
          <t>2-1-36</t>
        </is>
      </c>
      <c r="B78" s="4" t="inlineStr">
        <is>
          <t>2</t>
        </is>
      </c>
      <c r="C78" s="4" t="inlineStr">
        <is>
          <t>1</t>
        </is>
      </c>
      <c r="D78" s="4" t="inlineStr">
        <is>
          <t>36</t>
        </is>
      </c>
      <c r="E78" s="5" t="inlineStr">
        <is>
          <t>吉本　衣織</t>
        </is>
      </c>
    </row>
    <row r="79">
      <c r="A79" s="3" t="inlineStr">
        <is>
          <t>2-2-1</t>
        </is>
      </c>
      <c r="B79" s="4" t="inlineStr">
        <is>
          <t>2</t>
        </is>
      </c>
      <c r="C79" s="4" t="inlineStr">
        <is>
          <t>2</t>
        </is>
      </c>
      <c r="D79" s="4" t="inlineStr">
        <is>
          <t>1</t>
        </is>
      </c>
      <c r="E79" s="5" t="inlineStr">
        <is>
          <t>阿部　秀樹</t>
        </is>
      </c>
    </row>
    <row r="80">
      <c r="A80" s="3" t="inlineStr">
        <is>
          <t>2-2-2</t>
        </is>
      </c>
      <c r="B80" s="4" t="inlineStr">
        <is>
          <t>2</t>
        </is>
      </c>
      <c r="C80" s="4" t="inlineStr">
        <is>
          <t>2</t>
        </is>
      </c>
      <c r="D80" s="4" t="inlineStr">
        <is>
          <t>2</t>
        </is>
      </c>
      <c r="E80" s="5" t="inlineStr">
        <is>
          <t>和泉　遥斗</t>
        </is>
      </c>
    </row>
    <row r="81">
      <c r="A81" s="3" t="inlineStr">
        <is>
          <t>2-2-3</t>
        </is>
      </c>
      <c r="B81" s="4" t="inlineStr">
        <is>
          <t>2</t>
        </is>
      </c>
      <c r="C81" s="4" t="inlineStr">
        <is>
          <t>2</t>
        </is>
      </c>
      <c r="D81" s="4" t="inlineStr">
        <is>
          <t>3</t>
        </is>
      </c>
      <c r="E81" s="5" t="inlineStr">
        <is>
          <t>今井　悠人</t>
        </is>
      </c>
    </row>
    <row r="82">
      <c r="A82" s="3" t="inlineStr">
        <is>
          <t>2-2-4</t>
        </is>
      </c>
      <c r="B82" s="4" t="inlineStr">
        <is>
          <t>2</t>
        </is>
      </c>
      <c r="C82" s="4" t="inlineStr">
        <is>
          <t>2</t>
        </is>
      </c>
      <c r="D82" s="4" t="inlineStr">
        <is>
          <t>4</t>
        </is>
      </c>
      <c r="E82" s="5" t="inlineStr">
        <is>
          <t>大島　蓮</t>
        </is>
      </c>
    </row>
    <row r="83">
      <c r="A83" s="3" t="inlineStr">
        <is>
          <t>2-2-5</t>
        </is>
      </c>
      <c r="B83" s="4" t="inlineStr">
        <is>
          <t>2</t>
        </is>
      </c>
      <c r="C83" s="4" t="inlineStr">
        <is>
          <t>2</t>
        </is>
      </c>
      <c r="D83" s="4" t="inlineStr">
        <is>
          <t>5</t>
        </is>
      </c>
      <c r="E83" s="5" t="inlineStr">
        <is>
          <t>尾関　隼多</t>
        </is>
      </c>
    </row>
    <row r="84">
      <c r="A84" s="3" t="inlineStr">
        <is>
          <t>2-2-6</t>
        </is>
      </c>
      <c r="B84" s="4" t="inlineStr">
        <is>
          <t>2</t>
        </is>
      </c>
      <c r="C84" s="4" t="inlineStr">
        <is>
          <t>2</t>
        </is>
      </c>
      <c r="D84" s="4" t="inlineStr">
        <is>
          <t>6</t>
        </is>
      </c>
      <c r="E84" s="5" t="inlineStr">
        <is>
          <t>亀島　花南</t>
        </is>
      </c>
    </row>
    <row r="85">
      <c r="A85" s="3" t="inlineStr">
        <is>
          <t>2-2-7</t>
        </is>
      </c>
      <c r="B85" s="4" t="inlineStr">
        <is>
          <t>2</t>
        </is>
      </c>
      <c r="C85" s="4" t="inlineStr">
        <is>
          <t>2</t>
        </is>
      </c>
      <c r="D85" s="4" t="inlineStr">
        <is>
          <t>7</t>
        </is>
      </c>
      <c r="E85" s="5" t="inlineStr">
        <is>
          <t>川野　鈴音</t>
        </is>
      </c>
    </row>
    <row r="86">
      <c r="A86" s="3" t="inlineStr">
        <is>
          <t>2-2-8</t>
        </is>
      </c>
      <c r="B86" s="4" t="inlineStr">
        <is>
          <t>2</t>
        </is>
      </c>
      <c r="C86" s="4" t="inlineStr">
        <is>
          <t>2</t>
        </is>
      </c>
      <c r="D86" s="4" t="inlineStr">
        <is>
          <t>8</t>
        </is>
      </c>
      <c r="E86" s="5" t="inlineStr">
        <is>
          <t>北川　晃羽</t>
        </is>
      </c>
    </row>
    <row r="87">
      <c r="A87" s="3" t="inlineStr">
        <is>
          <t>2-2-9</t>
        </is>
      </c>
      <c r="B87" s="4" t="inlineStr">
        <is>
          <t>2</t>
        </is>
      </c>
      <c r="C87" s="4" t="inlineStr">
        <is>
          <t>2</t>
        </is>
      </c>
      <c r="D87" s="4" t="inlineStr">
        <is>
          <t>9</t>
        </is>
      </c>
      <c r="E87" s="5" t="inlineStr">
        <is>
          <t>笹山　伶華</t>
        </is>
      </c>
    </row>
    <row r="88">
      <c r="A88" s="3" t="inlineStr">
        <is>
          <t>2-2-10</t>
        </is>
      </c>
      <c r="B88" s="4" t="inlineStr">
        <is>
          <t>2</t>
        </is>
      </c>
      <c r="C88" s="4" t="inlineStr">
        <is>
          <t>2</t>
        </is>
      </c>
      <c r="D88" s="4" t="inlineStr">
        <is>
          <t>10</t>
        </is>
      </c>
      <c r="E88" s="5" t="inlineStr">
        <is>
          <t>髙橋　潤夏</t>
        </is>
      </c>
    </row>
    <row r="89">
      <c r="A89" s="3" t="inlineStr">
        <is>
          <t>2-2-11</t>
        </is>
      </c>
      <c r="B89" s="4" t="inlineStr">
        <is>
          <t>2</t>
        </is>
      </c>
      <c r="C89" s="4" t="inlineStr">
        <is>
          <t>2</t>
        </is>
      </c>
      <c r="D89" s="4" t="inlineStr">
        <is>
          <t>11</t>
        </is>
      </c>
      <c r="E89" s="5" t="inlineStr">
        <is>
          <t>中野　妃織</t>
        </is>
      </c>
    </row>
    <row r="90">
      <c r="A90" s="3" t="inlineStr">
        <is>
          <t>2-2-12</t>
        </is>
      </c>
      <c r="B90" s="4" t="inlineStr">
        <is>
          <t>2</t>
        </is>
      </c>
      <c r="C90" s="4" t="inlineStr">
        <is>
          <t>2</t>
        </is>
      </c>
      <c r="D90" s="4" t="inlineStr">
        <is>
          <t>12</t>
        </is>
      </c>
      <c r="E90" s="5" t="inlineStr">
        <is>
          <t>長屋　未羽</t>
        </is>
      </c>
    </row>
    <row r="91">
      <c r="A91" s="3" t="inlineStr">
        <is>
          <t>2-2-13</t>
        </is>
      </c>
      <c r="B91" s="4" t="inlineStr">
        <is>
          <t>2</t>
        </is>
      </c>
      <c r="C91" s="4" t="inlineStr">
        <is>
          <t>2</t>
        </is>
      </c>
      <c r="D91" s="4" t="inlineStr">
        <is>
          <t>13</t>
        </is>
      </c>
      <c r="E91" s="5" t="inlineStr">
        <is>
          <t>橋本　舞</t>
        </is>
      </c>
    </row>
    <row r="92">
      <c r="A92" s="3" t="inlineStr">
        <is>
          <t>2-2-14</t>
        </is>
      </c>
      <c r="B92" s="4" t="inlineStr">
        <is>
          <t>2</t>
        </is>
      </c>
      <c r="C92" s="4" t="inlineStr">
        <is>
          <t>2</t>
        </is>
      </c>
      <c r="D92" s="4" t="inlineStr">
        <is>
          <t>14</t>
        </is>
      </c>
      <c r="E92" s="5" t="inlineStr">
        <is>
          <t>原田　アマンダ</t>
        </is>
      </c>
    </row>
    <row r="93">
      <c r="A93" s="3" t="inlineStr">
        <is>
          <t>2-2-15</t>
        </is>
      </c>
      <c r="B93" s="4" t="inlineStr">
        <is>
          <t>2</t>
        </is>
      </c>
      <c r="C93" s="4" t="inlineStr">
        <is>
          <t>2</t>
        </is>
      </c>
      <c r="D93" s="4" t="inlineStr">
        <is>
          <t>15</t>
        </is>
      </c>
      <c r="E93" s="5" t="inlineStr">
        <is>
          <t>半谷　健</t>
        </is>
      </c>
    </row>
    <row r="94">
      <c r="A94" s="3" t="inlineStr">
        <is>
          <t>2-2-16</t>
        </is>
      </c>
      <c r="B94" s="4" t="inlineStr">
        <is>
          <t>2</t>
        </is>
      </c>
      <c r="C94" s="4" t="inlineStr">
        <is>
          <t>2</t>
        </is>
      </c>
      <c r="D94" s="4" t="inlineStr">
        <is>
          <t>16</t>
        </is>
      </c>
      <c r="E94" s="5" t="inlineStr">
        <is>
          <t>菱川　優奈</t>
        </is>
      </c>
    </row>
    <row r="95">
      <c r="A95" s="3" t="inlineStr">
        <is>
          <t>2-2-17</t>
        </is>
      </c>
      <c r="B95" s="4" t="inlineStr">
        <is>
          <t>2</t>
        </is>
      </c>
      <c r="C95" s="4" t="inlineStr">
        <is>
          <t>2</t>
        </is>
      </c>
      <c r="D95" s="4" t="inlineStr">
        <is>
          <t>17</t>
        </is>
      </c>
      <c r="E95" s="5" t="inlineStr">
        <is>
          <t>藤井　来娃</t>
        </is>
      </c>
    </row>
    <row r="96">
      <c r="A96" s="3" t="inlineStr">
        <is>
          <t>2-2-18</t>
        </is>
      </c>
      <c r="B96" s="4" t="inlineStr">
        <is>
          <t>2</t>
        </is>
      </c>
      <c r="C96" s="4" t="inlineStr">
        <is>
          <t>2</t>
        </is>
      </c>
      <c r="D96" s="4" t="inlineStr">
        <is>
          <t>18</t>
        </is>
      </c>
      <c r="E96" s="5" t="inlineStr">
        <is>
          <t>藤井　瞳伍</t>
        </is>
      </c>
    </row>
    <row r="97">
      <c r="A97" s="3" t="inlineStr">
        <is>
          <t>2-2-19</t>
        </is>
      </c>
      <c r="B97" s="4" t="inlineStr">
        <is>
          <t>2</t>
        </is>
      </c>
      <c r="C97" s="4" t="inlineStr">
        <is>
          <t>2</t>
        </is>
      </c>
      <c r="D97" s="4" t="inlineStr">
        <is>
          <t>19</t>
        </is>
      </c>
      <c r="E97" s="5" t="inlineStr">
        <is>
          <t>水野　心瑚</t>
        </is>
      </c>
    </row>
    <row r="98">
      <c r="A98" s="3" t="inlineStr">
        <is>
          <t>2-2-20</t>
        </is>
      </c>
      <c r="B98" s="4" t="inlineStr">
        <is>
          <t>2</t>
        </is>
      </c>
      <c r="C98" s="4" t="inlineStr">
        <is>
          <t>2</t>
        </is>
      </c>
      <c r="D98" s="4" t="inlineStr">
        <is>
          <t>20</t>
        </is>
      </c>
      <c r="E98" s="5" t="inlineStr">
        <is>
          <t>吉田　恩頼</t>
        </is>
      </c>
    </row>
    <row r="99">
      <c r="A99" s="3" t="inlineStr">
        <is>
          <t>2-3-1</t>
        </is>
      </c>
      <c r="B99" s="4" t="inlineStr">
        <is>
          <t>2</t>
        </is>
      </c>
      <c r="C99" s="4" t="inlineStr">
        <is>
          <t>3</t>
        </is>
      </c>
      <c r="D99" s="4" t="inlineStr">
        <is>
          <t>1</t>
        </is>
      </c>
      <c r="E99" s="5" t="inlineStr">
        <is>
          <t>石田　柚樹</t>
        </is>
      </c>
    </row>
    <row r="100">
      <c r="A100" s="3" t="inlineStr">
        <is>
          <t>2-3-2</t>
        </is>
      </c>
      <c r="B100" s="4" t="inlineStr">
        <is>
          <t>2</t>
        </is>
      </c>
      <c r="C100" s="4" t="inlineStr">
        <is>
          <t>3</t>
        </is>
      </c>
      <c r="D100" s="4" t="inlineStr">
        <is>
          <t>2</t>
        </is>
      </c>
      <c r="E100" s="5" t="inlineStr">
        <is>
          <t>磯部　由稀</t>
        </is>
      </c>
    </row>
    <row r="101">
      <c r="A101" s="3" t="inlineStr">
        <is>
          <t>2-3-3</t>
        </is>
      </c>
      <c r="B101" s="4" t="inlineStr">
        <is>
          <t>2</t>
        </is>
      </c>
      <c r="C101" s="4" t="inlineStr">
        <is>
          <t>3</t>
        </is>
      </c>
      <c r="D101" s="4" t="inlineStr">
        <is>
          <t>3</t>
        </is>
      </c>
      <c r="E101" s="5" t="inlineStr">
        <is>
          <t>井上　颯斗</t>
        </is>
      </c>
    </row>
    <row r="102">
      <c r="A102" s="3" t="inlineStr">
        <is>
          <t>2-3-4</t>
        </is>
      </c>
      <c r="B102" s="4" t="inlineStr">
        <is>
          <t>2</t>
        </is>
      </c>
      <c r="C102" s="4" t="inlineStr">
        <is>
          <t>3</t>
        </is>
      </c>
      <c r="D102" s="4" t="inlineStr">
        <is>
          <t>4</t>
        </is>
      </c>
      <c r="E102" s="5" t="inlineStr">
        <is>
          <t>岩田　煌叶</t>
        </is>
      </c>
    </row>
    <row r="103">
      <c r="A103" s="3" t="inlineStr">
        <is>
          <t>2-3-5</t>
        </is>
      </c>
      <c r="B103" s="4" t="inlineStr">
        <is>
          <t>2</t>
        </is>
      </c>
      <c r="C103" s="4" t="inlineStr">
        <is>
          <t>3</t>
        </is>
      </c>
      <c r="D103" s="4" t="inlineStr">
        <is>
          <t>5</t>
        </is>
      </c>
      <c r="E103" s="5" t="inlineStr">
        <is>
          <t>奥西　楓威</t>
        </is>
      </c>
    </row>
    <row r="104">
      <c r="A104" s="3" t="inlineStr">
        <is>
          <t>2-3-6</t>
        </is>
      </c>
      <c r="B104" s="4" t="inlineStr">
        <is>
          <t>2</t>
        </is>
      </c>
      <c r="C104" s="4" t="inlineStr">
        <is>
          <t>3</t>
        </is>
      </c>
      <c r="D104" s="4" t="inlineStr">
        <is>
          <t>6</t>
        </is>
      </c>
      <c r="E104" s="5" t="inlineStr">
        <is>
          <t>河井　奏音</t>
        </is>
      </c>
    </row>
    <row r="105">
      <c r="A105" s="3" t="inlineStr">
        <is>
          <t>2-3-7</t>
        </is>
      </c>
      <c r="B105" s="4" t="inlineStr">
        <is>
          <t>2</t>
        </is>
      </c>
      <c r="C105" s="4" t="inlineStr">
        <is>
          <t>3</t>
        </is>
      </c>
      <c r="D105" s="4" t="inlineStr">
        <is>
          <t>7</t>
        </is>
      </c>
      <c r="E105" s="5" t="inlineStr">
        <is>
          <t>北瀬　未留</t>
        </is>
      </c>
    </row>
    <row r="106">
      <c r="A106" s="3" t="inlineStr">
        <is>
          <t>2-3-8</t>
        </is>
      </c>
      <c r="B106" s="4" t="inlineStr">
        <is>
          <t>2</t>
        </is>
      </c>
      <c r="C106" s="4" t="inlineStr">
        <is>
          <t>3</t>
        </is>
      </c>
      <c r="D106" s="4" t="inlineStr">
        <is>
          <t>8</t>
        </is>
      </c>
      <c r="E106" s="5" t="inlineStr">
        <is>
          <t>木下　夢萌</t>
        </is>
      </c>
    </row>
    <row r="107">
      <c r="A107" s="3" t="inlineStr">
        <is>
          <t>2-3-9</t>
        </is>
      </c>
      <c r="B107" s="4" t="inlineStr">
        <is>
          <t>2</t>
        </is>
      </c>
      <c r="C107" s="4" t="inlineStr">
        <is>
          <t>3</t>
        </is>
      </c>
      <c r="D107" s="4" t="inlineStr">
        <is>
          <t>9</t>
        </is>
      </c>
      <c r="E107" s="5" t="inlineStr">
        <is>
          <t>後藤　颯太</t>
        </is>
      </c>
    </row>
    <row r="108">
      <c r="A108" s="3" t="inlineStr">
        <is>
          <t>2-3-10</t>
        </is>
      </c>
      <c r="B108" s="4" t="inlineStr">
        <is>
          <t>2</t>
        </is>
      </c>
      <c r="C108" s="4" t="inlineStr">
        <is>
          <t>3</t>
        </is>
      </c>
      <c r="D108" s="4" t="inlineStr">
        <is>
          <t>10</t>
        </is>
      </c>
      <c r="E108" s="5" t="inlineStr">
        <is>
          <t>永田　絢楓</t>
        </is>
      </c>
    </row>
    <row r="109">
      <c r="A109" s="3" t="inlineStr">
        <is>
          <t>2-3-11</t>
        </is>
      </c>
      <c r="B109" s="4" t="inlineStr">
        <is>
          <t>2</t>
        </is>
      </c>
      <c r="C109" s="4" t="inlineStr">
        <is>
          <t>3</t>
        </is>
      </c>
      <c r="D109" s="4" t="inlineStr">
        <is>
          <t>11</t>
        </is>
      </c>
      <c r="E109" s="5" t="inlineStr">
        <is>
          <t>藤　愛留</t>
        </is>
      </c>
    </row>
    <row r="110">
      <c r="A110" s="3" t="inlineStr">
        <is>
          <t>2-3-12</t>
        </is>
      </c>
      <c r="B110" s="4" t="inlineStr">
        <is>
          <t>2</t>
        </is>
      </c>
      <c r="C110" s="4" t="inlineStr">
        <is>
          <t>3</t>
        </is>
      </c>
      <c r="D110" s="4" t="inlineStr">
        <is>
          <t>12</t>
        </is>
      </c>
      <c r="E110" s="5" t="inlineStr">
        <is>
          <t>藤井　玖典</t>
        </is>
      </c>
    </row>
    <row r="111">
      <c r="A111" s="3" t="inlineStr">
        <is>
          <t>2-3-13</t>
        </is>
      </c>
      <c r="B111" s="4" t="inlineStr">
        <is>
          <t>2</t>
        </is>
      </c>
      <c r="C111" s="4" t="inlineStr">
        <is>
          <t>3</t>
        </is>
      </c>
      <c r="D111" s="4" t="inlineStr">
        <is>
          <t>13</t>
        </is>
      </c>
      <c r="E111" s="5" t="inlineStr">
        <is>
          <t>舟渡　駿</t>
        </is>
      </c>
    </row>
    <row r="112">
      <c r="A112" s="3" t="inlineStr">
        <is>
          <t>2-3-14</t>
        </is>
      </c>
      <c r="B112" s="4" t="inlineStr">
        <is>
          <t>2</t>
        </is>
      </c>
      <c r="C112" s="4" t="inlineStr">
        <is>
          <t>3</t>
        </is>
      </c>
      <c r="D112" s="4" t="inlineStr">
        <is>
          <t>14</t>
        </is>
      </c>
      <c r="E112" s="5" t="inlineStr">
        <is>
          <t>松枝　沙空</t>
        </is>
      </c>
    </row>
    <row r="113">
      <c r="A113" s="3" t="inlineStr">
        <is>
          <t>2-3-15</t>
        </is>
      </c>
      <c r="B113" s="4" t="inlineStr">
        <is>
          <t>2</t>
        </is>
      </c>
      <c r="C113" s="4" t="inlineStr">
        <is>
          <t>3</t>
        </is>
      </c>
      <c r="D113" s="4" t="inlineStr">
        <is>
          <t>15</t>
        </is>
      </c>
      <c r="E113" s="5" t="inlineStr">
        <is>
          <t>松山　響</t>
        </is>
      </c>
    </row>
    <row r="114">
      <c r="A114" s="3" t="inlineStr">
        <is>
          <t>2-3-16</t>
        </is>
      </c>
      <c r="B114" s="4" t="inlineStr">
        <is>
          <t>2</t>
        </is>
      </c>
      <c r="C114" s="4" t="inlineStr">
        <is>
          <t>3</t>
        </is>
      </c>
      <c r="D114" s="4" t="inlineStr">
        <is>
          <t>16</t>
        </is>
      </c>
      <c r="E114" s="5" t="inlineStr">
        <is>
          <t>水野　瑠斗</t>
        </is>
      </c>
    </row>
    <row r="115">
      <c r="A115" s="3" t="inlineStr">
        <is>
          <t>2-3-17</t>
        </is>
      </c>
      <c r="B115" s="4" t="inlineStr">
        <is>
          <t>2</t>
        </is>
      </c>
      <c r="C115" s="4" t="inlineStr">
        <is>
          <t>3</t>
        </is>
      </c>
      <c r="D115" s="4" t="inlineStr">
        <is>
          <t>17</t>
        </is>
      </c>
      <c r="E115" s="5" t="inlineStr">
        <is>
          <t>矢田　六花</t>
        </is>
      </c>
    </row>
    <row r="116">
      <c r="A116" s="3" t="inlineStr">
        <is>
          <t>2-3-18</t>
        </is>
      </c>
      <c r="B116" s="4" t="inlineStr">
        <is>
          <t>2</t>
        </is>
      </c>
      <c r="C116" s="4" t="inlineStr">
        <is>
          <t>3</t>
        </is>
      </c>
      <c r="D116" s="4" t="inlineStr">
        <is>
          <t>18</t>
        </is>
      </c>
      <c r="E116" s="5" t="inlineStr">
        <is>
          <t>横井　彩凪</t>
        </is>
      </c>
    </row>
    <row r="117">
      <c r="A117" s="3" t="inlineStr">
        <is>
          <t>2-3-19</t>
        </is>
      </c>
      <c r="B117" s="4" t="inlineStr">
        <is>
          <t>2</t>
        </is>
      </c>
      <c r="C117" s="4" t="inlineStr">
        <is>
          <t>3</t>
        </is>
      </c>
      <c r="D117" s="4" t="inlineStr">
        <is>
          <t>19</t>
        </is>
      </c>
      <c r="E117" s="5" t="inlineStr">
        <is>
          <t>吉川　巧</t>
        </is>
      </c>
    </row>
    <row r="118">
      <c r="A118" s="3" t="inlineStr">
        <is>
          <t>2-4-1</t>
        </is>
      </c>
      <c r="B118" s="4" t="inlineStr">
        <is>
          <t>2</t>
        </is>
      </c>
      <c r="C118" s="4" t="inlineStr">
        <is>
          <t>4</t>
        </is>
      </c>
      <c r="D118" s="4" t="inlineStr">
        <is>
          <t>1</t>
        </is>
      </c>
      <c r="E118" s="5" t="inlineStr">
        <is>
          <t>岩崎　なる</t>
        </is>
      </c>
    </row>
    <row r="119">
      <c r="A119" s="3" t="inlineStr">
        <is>
          <t>2-4-2</t>
        </is>
      </c>
      <c r="B119" s="4" t="inlineStr">
        <is>
          <t>2</t>
        </is>
      </c>
      <c r="C119" s="4" t="inlineStr">
        <is>
          <t>4</t>
        </is>
      </c>
      <c r="D119" s="4" t="inlineStr">
        <is>
          <t>2</t>
        </is>
      </c>
      <c r="E119" s="5" t="inlineStr">
        <is>
          <t>岩田　志帆</t>
        </is>
      </c>
    </row>
    <row r="120">
      <c r="A120" s="3" t="inlineStr">
        <is>
          <t>2-4-3</t>
        </is>
      </c>
      <c r="B120" s="4" t="inlineStr">
        <is>
          <t>2</t>
        </is>
      </c>
      <c r="C120" s="4" t="inlineStr">
        <is>
          <t>4</t>
        </is>
      </c>
      <c r="D120" s="4" t="inlineStr">
        <is>
          <t>3</t>
        </is>
      </c>
      <c r="E120" s="5" t="inlineStr">
        <is>
          <t>岩田　苺子</t>
        </is>
      </c>
    </row>
    <row r="121">
      <c r="A121" s="3" t="inlineStr">
        <is>
          <t>2-4-4</t>
        </is>
      </c>
      <c r="B121" s="4" t="inlineStr">
        <is>
          <t>2</t>
        </is>
      </c>
      <c r="C121" s="4" t="inlineStr">
        <is>
          <t>4</t>
        </is>
      </c>
      <c r="D121" s="4" t="inlineStr">
        <is>
          <t>4</t>
        </is>
      </c>
      <c r="E121" s="5" t="inlineStr">
        <is>
          <t>岩田　理緒</t>
        </is>
      </c>
    </row>
    <row r="122">
      <c r="A122" s="3" t="inlineStr">
        <is>
          <t>2-4-5</t>
        </is>
      </c>
      <c r="B122" s="4" t="inlineStr">
        <is>
          <t>2</t>
        </is>
      </c>
      <c r="C122" s="4" t="inlineStr">
        <is>
          <t>4</t>
        </is>
      </c>
      <c r="D122" s="4" t="inlineStr">
        <is>
          <t>5</t>
        </is>
      </c>
      <c r="E122" s="5" t="inlineStr">
        <is>
          <t>江崎　未空</t>
        </is>
      </c>
    </row>
    <row r="123">
      <c r="A123" s="3" t="inlineStr">
        <is>
          <t>2-4-6</t>
        </is>
      </c>
      <c r="B123" s="4" t="inlineStr">
        <is>
          <t>2</t>
        </is>
      </c>
      <c r="C123" s="4" t="inlineStr">
        <is>
          <t>4</t>
        </is>
      </c>
      <c r="D123" s="4" t="inlineStr">
        <is>
          <t>6</t>
        </is>
      </c>
      <c r="E123" s="5" t="inlineStr">
        <is>
          <t>大藪　香菜</t>
        </is>
      </c>
    </row>
    <row r="124">
      <c r="A124" s="3" t="inlineStr">
        <is>
          <t>2-4-7</t>
        </is>
      </c>
      <c r="B124" s="4" t="inlineStr">
        <is>
          <t>2</t>
        </is>
      </c>
      <c r="C124" s="4" t="inlineStr">
        <is>
          <t>4</t>
        </is>
      </c>
      <c r="D124" s="4" t="inlineStr">
        <is>
          <t>7</t>
        </is>
      </c>
      <c r="E124" s="5" t="inlineStr">
        <is>
          <t>奥山　璃音</t>
        </is>
      </c>
    </row>
    <row r="125">
      <c r="A125" s="3" t="inlineStr">
        <is>
          <t>2-4-8</t>
        </is>
      </c>
      <c r="B125" s="4" t="inlineStr">
        <is>
          <t>2</t>
        </is>
      </c>
      <c r="C125" s="4" t="inlineStr">
        <is>
          <t>4</t>
        </is>
      </c>
      <c r="D125" s="4" t="inlineStr">
        <is>
          <t>8</t>
        </is>
      </c>
      <c r="E125" s="5" t="inlineStr">
        <is>
          <t>兼松　沙也恵</t>
        </is>
      </c>
    </row>
    <row r="126">
      <c r="A126" s="3" t="inlineStr">
        <is>
          <t>2-4-9</t>
        </is>
      </c>
      <c r="B126" s="4" t="inlineStr">
        <is>
          <t>2</t>
        </is>
      </c>
      <c r="C126" s="4" t="inlineStr">
        <is>
          <t>4</t>
        </is>
      </c>
      <c r="D126" s="4" t="inlineStr">
        <is>
          <t>9</t>
        </is>
      </c>
      <c r="E126" s="5" t="inlineStr">
        <is>
          <t>橘川　汐穏</t>
        </is>
      </c>
    </row>
    <row r="127">
      <c r="A127" s="3" t="inlineStr">
        <is>
          <t>2-4-10</t>
        </is>
      </c>
      <c r="B127" s="4" t="inlineStr">
        <is>
          <t>2</t>
        </is>
      </c>
      <c r="C127" s="4" t="inlineStr">
        <is>
          <t>4</t>
        </is>
      </c>
      <c r="D127" s="4" t="inlineStr">
        <is>
          <t>10</t>
        </is>
      </c>
      <c r="E127" s="5" t="inlineStr">
        <is>
          <t>倉知　万結</t>
        </is>
      </c>
    </row>
    <row r="128">
      <c r="A128" s="3" t="inlineStr">
        <is>
          <t>2-4-11</t>
        </is>
      </c>
      <c r="B128" s="4" t="inlineStr">
        <is>
          <t>2</t>
        </is>
      </c>
      <c r="C128" s="4" t="inlineStr">
        <is>
          <t>4</t>
        </is>
      </c>
      <c r="D128" s="4" t="inlineStr">
        <is>
          <t>11</t>
        </is>
      </c>
      <c r="E128" s="5" t="inlineStr">
        <is>
          <t>栗本　寧花</t>
        </is>
      </c>
    </row>
    <row r="129">
      <c r="A129" s="3" t="inlineStr">
        <is>
          <t>2-4-12</t>
        </is>
      </c>
      <c r="B129" s="4" t="inlineStr">
        <is>
          <t>2</t>
        </is>
      </c>
      <c r="C129" s="4" t="inlineStr">
        <is>
          <t>4</t>
        </is>
      </c>
      <c r="D129" s="4" t="inlineStr">
        <is>
          <t>12</t>
        </is>
      </c>
      <c r="E129" s="5" t="inlineStr">
        <is>
          <t>小澤　奏太</t>
        </is>
      </c>
    </row>
    <row r="130">
      <c r="A130" s="3" t="inlineStr">
        <is>
          <t>2-4-13</t>
        </is>
      </c>
      <c r="B130" s="4" t="inlineStr">
        <is>
          <t>2</t>
        </is>
      </c>
      <c r="C130" s="4" t="inlineStr">
        <is>
          <t>4</t>
        </is>
      </c>
      <c r="D130" s="4" t="inlineStr">
        <is>
          <t>13</t>
        </is>
      </c>
      <c r="E130" s="5" t="inlineStr">
        <is>
          <t>佐々　輝夏</t>
        </is>
      </c>
    </row>
    <row r="131">
      <c r="A131" s="3" t="inlineStr">
        <is>
          <t>2-4-14</t>
        </is>
      </c>
      <c r="B131" s="4" t="inlineStr">
        <is>
          <t>2</t>
        </is>
      </c>
      <c r="C131" s="4" t="inlineStr">
        <is>
          <t>4</t>
        </is>
      </c>
      <c r="D131" s="4" t="inlineStr">
        <is>
          <t>14</t>
        </is>
      </c>
      <c r="E131" s="5" t="inlineStr">
        <is>
          <t>清水　愛里</t>
        </is>
      </c>
    </row>
    <row r="132">
      <c r="A132" s="3" t="inlineStr">
        <is>
          <t>2-4-15</t>
        </is>
      </c>
      <c r="B132" s="4" t="inlineStr">
        <is>
          <t>2</t>
        </is>
      </c>
      <c r="C132" s="4" t="inlineStr">
        <is>
          <t>4</t>
        </is>
      </c>
      <c r="D132" s="4" t="inlineStr">
        <is>
          <t>15</t>
        </is>
      </c>
      <c r="E132" s="5" t="inlineStr">
        <is>
          <t>杉野　百香</t>
        </is>
      </c>
    </row>
    <row r="133">
      <c r="A133" s="3" t="inlineStr">
        <is>
          <t>2-4-16</t>
        </is>
      </c>
      <c r="B133" s="4" t="inlineStr">
        <is>
          <t>2</t>
        </is>
      </c>
      <c r="C133" s="4" t="inlineStr">
        <is>
          <t>4</t>
        </is>
      </c>
      <c r="D133" s="4" t="inlineStr">
        <is>
          <t>16</t>
        </is>
      </c>
      <c r="E133" s="5" t="inlineStr">
        <is>
          <t>杉原　良聡</t>
        </is>
      </c>
    </row>
    <row r="134">
      <c r="A134" s="3" t="inlineStr">
        <is>
          <t>2-4-17</t>
        </is>
      </c>
      <c r="B134" s="4" t="inlineStr">
        <is>
          <t>2</t>
        </is>
      </c>
      <c r="C134" s="4" t="inlineStr">
        <is>
          <t>4</t>
        </is>
      </c>
      <c r="D134" s="4" t="inlineStr">
        <is>
          <t>17</t>
        </is>
      </c>
      <c r="E134" s="5" t="inlineStr">
        <is>
          <t>杉山　暁音</t>
        </is>
      </c>
    </row>
    <row r="135">
      <c r="A135" s="3" t="inlineStr">
        <is>
          <t>2-4-18</t>
        </is>
      </c>
      <c r="B135" s="4" t="inlineStr">
        <is>
          <t>2</t>
        </is>
      </c>
      <c r="C135" s="4" t="inlineStr">
        <is>
          <t>4</t>
        </is>
      </c>
      <c r="D135" s="4" t="inlineStr">
        <is>
          <t>18</t>
        </is>
      </c>
      <c r="E135" s="5" t="inlineStr">
        <is>
          <t>鈴木　李望</t>
        </is>
      </c>
    </row>
    <row r="136">
      <c r="A136" s="3" t="inlineStr">
        <is>
          <t>2-4-19</t>
        </is>
      </c>
      <c r="B136" s="4" t="inlineStr">
        <is>
          <t>2</t>
        </is>
      </c>
      <c r="C136" s="4" t="inlineStr">
        <is>
          <t>4</t>
        </is>
      </c>
      <c r="D136" s="4" t="inlineStr">
        <is>
          <t>19</t>
        </is>
      </c>
      <c r="E136" s="5" t="inlineStr">
        <is>
          <t>永田　結梨</t>
        </is>
      </c>
    </row>
    <row r="137">
      <c r="A137" s="3" t="inlineStr">
        <is>
          <t>2-4-20</t>
        </is>
      </c>
      <c r="B137" s="4" t="inlineStr">
        <is>
          <t>2</t>
        </is>
      </c>
      <c r="C137" s="4" t="inlineStr">
        <is>
          <t>4</t>
        </is>
      </c>
      <c r="D137" s="4" t="inlineStr">
        <is>
          <t>20</t>
        </is>
      </c>
      <c r="E137" s="5" t="inlineStr">
        <is>
          <t>長谷川　心海</t>
        </is>
      </c>
    </row>
    <row r="138">
      <c r="A138" s="3" t="inlineStr">
        <is>
          <t>2-4-21</t>
        </is>
      </c>
      <c r="B138" s="4" t="inlineStr">
        <is>
          <t>2</t>
        </is>
      </c>
      <c r="C138" s="4" t="inlineStr">
        <is>
          <t>4</t>
        </is>
      </c>
      <c r="D138" s="4" t="inlineStr">
        <is>
          <t>21</t>
        </is>
      </c>
      <c r="E138" s="5" t="inlineStr">
        <is>
          <t>馬場　羽音</t>
        </is>
      </c>
    </row>
    <row r="139">
      <c r="A139" s="3" t="inlineStr">
        <is>
          <t>2-4-22</t>
        </is>
      </c>
      <c r="B139" s="4" t="inlineStr">
        <is>
          <t>2</t>
        </is>
      </c>
      <c r="C139" s="4" t="inlineStr">
        <is>
          <t>4</t>
        </is>
      </c>
      <c r="D139" s="4" t="inlineStr">
        <is>
          <t>22</t>
        </is>
      </c>
      <c r="E139" s="5" t="inlineStr">
        <is>
          <t>伴　結月</t>
        </is>
      </c>
    </row>
    <row r="140">
      <c r="A140" s="3" t="inlineStr">
        <is>
          <t>2-4-23</t>
        </is>
      </c>
      <c r="B140" s="4" t="inlineStr">
        <is>
          <t>2</t>
        </is>
      </c>
      <c r="C140" s="4" t="inlineStr">
        <is>
          <t>4</t>
        </is>
      </c>
      <c r="D140" s="4" t="inlineStr">
        <is>
          <t>23</t>
        </is>
      </c>
      <c r="E140" s="5" t="inlineStr">
        <is>
          <t>日野　彩音</t>
        </is>
      </c>
    </row>
    <row r="141">
      <c r="A141" s="3" t="inlineStr">
        <is>
          <t>2-4-24</t>
        </is>
      </c>
      <c r="B141" s="4" t="inlineStr">
        <is>
          <t>2</t>
        </is>
      </c>
      <c r="C141" s="4" t="inlineStr">
        <is>
          <t>4</t>
        </is>
      </c>
      <c r="D141" s="4" t="inlineStr">
        <is>
          <t>24</t>
        </is>
      </c>
      <c r="E141" s="5" t="inlineStr">
        <is>
          <t>松尾　英治</t>
        </is>
      </c>
    </row>
    <row r="142">
      <c r="A142" s="3" t="inlineStr">
        <is>
          <t>2-4-25</t>
        </is>
      </c>
      <c r="B142" s="4" t="inlineStr">
        <is>
          <t>2</t>
        </is>
      </c>
      <c r="C142" s="4" t="inlineStr">
        <is>
          <t>4</t>
        </is>
      </c>
      <c r="D142" s="4" t="inlineStr">
        <is>
          <t>25</t>
        </is>
      </c>
      <c r="E142" s="5" t="inlineStr">
        <is>
          <t>松川　怜央</t>
        </is>
      </c>
    </row>
    <row r="143">
      <c r="A143" s="3" t="inlineStr">
        <is>
          <t>2-4-26</t>
        </is>
      </c>
      <c r="B143" s="4" t="inlineStr">
        <is>
          <t>2</t>
        </is>
      </c>
      <c r="C143" s="4" t="inlineStr">
        <is>
          <t>4</t>
        </is>
      </c>
      <c r="D143" s="4" t="inlineStr">
        <is>
          <t>26</t>
        </is>
      </c>
      <c r="E143" s="5" t="inlineStr">
        <is>
          <t>宮下　守楽</t>
        </is>
      </c>
    </row>
    <row r="144">
      <c r="A144" s="3" t="inlineStr">
        <is>
          <t>2-4-27</t>
        </is>
      </c>
      <c r="B144" s="4" t="inlineStr">
        <is>
          <t>2</t>
        </is>
      </c>
      <c r="C144" s="4" t="inlineStr">
        <is>
          <t>4</t>
        </is>
      </c>
      <c r="D144" s="4" t="inlineStr">
        <is>
          <t>27</t>
        </is>
      </c>
      <c r="E144" s="5" t="inlineStr">
        <is>
          <t>宮本　佑亜</t>
        </is>
      </c>
    </row>
    <row r="145">
      <c r="A145" s="3" t="inlineStr">
        <is>
          <t>2-4-28</t>
        </is>
      </c>
      <c r="B145" s="4" t="inlineStr">
        <is>
          <t>2</t>
        </is>
      </c>
      <c r="C145" s="4" t="inlineStr">
        <is>
          <t>4</t>
        </is>
      </c>
      <c r="D145" s="4" t="inlineStr">
        <is>
          <t>28</t>
        </is>
      </c>
      <c r="E145" s="5" t="inlineStr">
        <is>
          <t>武藤　弓葵</t>
        </is>
      </c>
    </row>
    <row r="146">
      <c r="A146" s="3" t="inlineStr">
        <is>
          <t>2-4-29</t>
        </is>
      </c>
      <c r="B146" s="4" t="inlineStr">
        <is>
          <t>2</t>
        </is>
      </c>
      <c r="C146" s="4" t="inlineStr">
        <is>
          <t>4</t>
        </is>
      </c>
      <c r="D146" s="4" t="inlineStr">
        <is>
          <t>29</t>
        </is>
      </c>
      <c r="E146" s="5" t="inlineStr">
        <is>
          <t>横地　杏月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34" customWidth="1" min="4" max="4"/>
    <col width="32" customWidth="1" min="5" max="5"/>
    <col width="34" customWidth="1" min="6" max="6"/>
    <col width="12" customWidth="1" min="7" max="7"/>
  </cols>
  <sheetData>
    <row r="1" ht="30" customHeight="1">
      <c r="A1" s="6" t="inlineStr">
        <is>
          <t>インターンシップ 教員見回り担当表</t>
        </is>
      </c>
    </row>
    <row r="2" ht="20" customHeight="1">
      <c r="A2" s="7" t="inlineStr">
        <is>
          <t>※距離はすべて大まかな目安です。実際の道順・所要時間は各自でご確認ください。</t>
        </is>
      </c>
    </row>
    <row r="3" ht="24" customHeight="1">
      <c r="A3" s="8" t="inlineStr">
        <is>
          <t>日付</t>
        </is>
      </c>
      <c r="B3" s="8" t="inlineStr">
        <is>
          <t>教員番号</t>
        </is>
      </c>
      <c r="C3" s="8" t="inlineStr">
        <is>
          <t>担当教員名</t>
        </is>
      </c>
      <c r="D3" s="8" t="inlineStr">
        <is>
          <t>訪問先企業</t>
        </is>
      </c>
      <c r="E3" s="8" t="inlineStr">
        <is>
          <t>住　所</t>
        </is>
      </c>
      <c r="F3" s="8" t="inlineStr">
        <is>
          <t>担当生徒（ID・氏名）</t>
        </is>
      </c>
      <c r="G3" s="8" t="inlineStr">
        <is>
          <t>距離目安</t>
        </is>
      </c>
    </row>
    <row r="4" ht="80" customHeight="1">
      <c r="A4" s="9" t="inlineStr">
        <is>
          <t>7/27(月)</t>
        </is>
      </c>
      <c r="B4" s="10" t="inlineStr">
        <is>
          <t>教員 1</t>
        </is>
      </c>
      <c r="C4" s="11" t="inlineStr">
        <is>
          <t>後藤</t>
        </is>
      </c>
      <c r="D4" s="12" t="inlineStr">
        <is>
          <t>きもの館なかね → 江南市立宮田南保育園 → 株式会社扶桑守口食品</t>
        </is>
      </c>
      <c r="E4" s="13" t="inlineStr">
        <is>
          <t>愛知県江南市古知野町本郷３４ ／ 江南市前飛保町西町　2 ／ 愛知県丹羽郡扶桑町大字山那字屋敷地757</t>
        </is>
      </c>
      <c r="F4" s="14" t="inlineStr">
        <is>
          <t>1-5-9　1-5-10　1-5-26　1-5-30　1-5-40</t>
        </is>
      </c>
      <c r="G4" s="15" t="inlineStr">
        <is>
          <t>約14.1km</t>
        </is>
      </c>
    </row>
    <row r="5" ht="64" customHeight="1">
      <c r="B5" s="16" t="inlineStr">
        <is>
          <t>教員 2</t>
        </is>
      </c>
      <c r="C5" s="11" t="inlineStr">
        <is>
          <t>小串</t>
        </is>
      </c>
      <c r="D5" s="17" t="inlineStr">
        <is>
          <t>株式会社青山製作所　大口工場 → 大口屋木賀工場</t>
        </is>
      </c>
      <c r="E5" s="18" t="inlineStr">
        <is>
          <t>愛知県丹羽郡大口町高橋一丁目8番地 ／ 江南市木賀町定和244-1 その他</t>
        </is>
      </c>
      <c r="F5" s="19" t="inlineStr">
        <is>
          <t>1-5-17　2-1-11　1-5-20　1-5-21</t>
        </is>
      </c>
      <c r="G5" s="20" t="inlineStr">
        <is>
          <t>約5.8km</t>
        </is>
      </c>
    </row>
    <row r="6" ht="64" customHeight="1">
      <c r="B6" s="21" t="inlineStr">
        <is>
          <t>教員 3</t>
        </is>
      </c>
      <c r="C6" s="11" t="inlineStr">
        <is>
          <t>藤田</t>
        </is>
      </c>
      <c r="D6" s="12" t="inlineStr">
        <is>
          <t>ドコモショップ江南店 → 江南市立藤里保育園 → GARN（ガルン）　モゾワンダーシティ店</t>
        </is>
      </c>
      <c r="E6" s="13" t="inlineStr">
        <is>
          <t>愛知県江南市木賀町定和163 ／ 江南市藤が丘7丁目1-16 ／ 愛知県名古屋市西区二方町40番</t>
        </is>
      </c>
      <c r="F6" s="14" t="inlineStr">
        <is>
          <t>2-1-6　2-1-13　2-1-36　2-4-1</t>
        </is>
      </c>
      <c r="G6" s="15" t="inlineStr">
        <is>
          <t>約32.1km</t>
        </is>
      </c>
    </row>
    <row r="7" ht="80" customHeight="1">
      <c r="A7" s="9" t="inlineStr">
        <is>
          <t>7/28(火)</t>
        </is>
      </c>
      <c r="B7" s="10" t="inlineStr">
        <is>
          <t>教員 1</t>
        </is>
      </c>
      <c r="C7" s="11" t="inlineStr">
        <is>
          <t>杉村充</t>
        </is>
      </c>
      <c r="D7" s="17" t="inlineStr">
        <is>
          <t>江南中央食品 → 大口屋木賀工場 → 株式会社扶桑守口食品</t>
        </is>
      </c>
      <c r="E7" s="18" t="inlineStr">
        <is>
          <t>江南市古知野町北屋敷242 ／ 江南市木賀町定和244-1 その他 ／ 愛知県丹羽郡扶桑町大字山那字屋敷地757</t>
        </is>
      </c>
      <c r="F7" s="19" t="inlineStr">
        <is>
          <t>1-5-8　1-5-29　1-5-37　1-5-7　1-5-15</t>
        </is>
      </c>
      <c r="G7" s="20" t="inlineStr">
        <is>
          <t>約14.7km</t>
        </is>
      </c>
    </row>
    <row r="8" ht="64" customHeight="1">
      <c r="B8" s="16" t="inlineStr">
        <is>
          <t>教員 2</t>
        </is>
      </c>
      <c r="C8" s="11" t="inlineStr">
        <is>
          <t>長谷川</t>
        </is>
      </c>
      <c r="D8" s="12" t="inlineStr">
        <is>
          <t>サンハウス食品株式会社 → 江南市立草井保育園</t>
        </is>
      </c>
      <c r="E8" s="13" t="inlineStr">
        <is>
          <t>愛知県江南市高屋町西里７７番地 ／ 江南市草井町若草57</t>
        </is>
      </c>
      <c r="F8" s="14" t="inlineStr">
        <is>
          <t>1-5-16　1-5-19　1-5-12　1-5-14</t>
        </is>
      </c>
      <c r="G8" s="15" t="inlineStr">
        <is>
          <t>約8.3km</t>
        </is>
      </c>
    </row>
    <row r="9" ht="48" customHeight="1">
      <c r="B9" s="21" t="inlineStr">
        <is>
          <t>教員 3</t>
        </is>
      </c>
      <c r="C9" s="11" t="inlineStr">
        <is>
          <t>水野</t>
        </is>
      </c>
      <c r="D9" s="17" t="inlineStr">
        <is>
          <t>江南市立藤里保育園 → 東名化学工業株式会社　小牧工場</t>
        </is>
      </c>
      <c r="E9" s="18" t="inlineStr">
        <is>
          <t>江南市藤が丘7丁目1-16 ／ 小牧市大草檀之上5410</t>
        </is>
      </c>
      <c r="F9" s="19" t="inlineStr">
        <is>
          <t>2-2-13　2-1-15　2-4-20</t>
        </is>
      </c>
      <c r="G9" s="20" t="inlineStr">
        <is>
          <t>約28.7km</t>
        </is>
      </c>
    </row>
    <row r="10" ht="32" customHeight="1">
      <c r="A10" s="9" t="inlineStr">
        <is>
          <t>7/29(水)</t>
        </is>
      </c>
      <c r="B10" s="10" t="inlineStr">
        <is>
          <t>教員 1</t>
        </is>
      </c>
      <c r="C10" s="11" t="inlineStr">
        <is>
          <t>川瀬</t>
        </is>
      </c>
      <c r="D10" s="12" t="inlineStr">
        <is>
          <t>江南中央食品 → 榮美容室本店</t>
        </is>
      </c>
      <c r="E10" s="13" t="inlineStr">
        <is>
          <t>江南市古知野町北屋敷242 ／ 一宮市大江2-9-16</t>
        </is>
      </c>
      <c r="F10" s="14" t="inlineStr">
        <is>
          <t>1-5-35　1-5-27</t>
        </is>
      </c>
      <c r="G10" s="15" t="inlineStr">
        <is>
          <t>約17.9km</t>
        </is>
      </c>
    </row>
    <row r="11" ht="64" customHeight="1">
      <c r="B11" s="16" t="inlineStr">
        <is>
          <t>教員 2</t>
        </is>
      </c>
      <c r="C11" s="11" t="inlineStr">
        <is>
          <t>後藤</t>
        </is>
      </c>
      <c r="D11" s="17" t="inlineStr">
        <is>
          <t>江南市立布袋西保育園 → ガレ・ドゥ・ワタナベ</t>
        </is>
      </c>
      <c r="E11" s="18" t="inlineStr">
        <is>
          <t>江南市木賀町定和３１ ／ 江南市小折町八反畑8</t>
        </is>
      </c>
      <c r="F11" s="19" t="inlineStr">
        <is>
          <t>1-5-4　1-5-22　1-5-11　1-5-13</t>
        </is>
      </c>
      <c r="G11" s="20" t="inlineStr">
        <is>
          <t>約6.4km</t>
        </is>
      </c>
    </row>
    <row r="12" ht="48" customHeight="1">
      <c r="B12" s="21" t="inlineStr">
        <is>
          <t>教員 3</t>
        </is>
      </c>
      <c r="C12" s="11" t="inlineStr">
        <is>
          <t>石黒慎</t>
        </is>
      </c>
      <c r="D12" s="12" t="inlineStr">
        <is>
          <t>株式会社綿半ホームエイド江南店 → 江南市立藤里保育園</t>
        </is>
      </c>
      <c r="E12" s="13" t="inlineStr">
        <is>
          <t>江南市上奈良町緑13 ／ 江南市藤が丘7丁目1-16</t>
        </is>
      </c>
      <c r="F12" s="14" t="inlineStr">
        <is>
          <t>2-1-21　2-2-4　2-2-20</t>
        </is>
      </c>
      <c r="G12" s="15" t="inlineStr">
        <is>
          <t>約8.6km</t>
        </is>
      </c>
    </row>
    <row r="13" ht="80" customHeight="1">
      <c r="B13" s="22" t="inlineStr">
        <is>
          <t>教員 4</t>
        </is>
      </c>
      <c r="C13" s="11" t="inlineStr">
        <is>
          <t>梶田</t>
        </is>
      </c>
      <c r="D13" s="17" t="inlineStr">
        <is>
          <t>株式会社青山製作所　大口工場 → キムラユニティー株式会社　犬山工場</t>
        </is>
      </c>
      <c r="E13" s="18" t="inlineStr">
        <is>
          <t>愛知県丹羽郡大口町高橋一丁目8番地 ／ 愛知県犬山市字舟田10番地</t>
        </is>
      </c>
      <c r="F13" s="19" t="inlineStr">
        <is>
          <t>2-2-14　2-4-21　2-1-1　2-1-19　2-4-14</t>
        </is>
      </c>
      <c r="G13" s="20" t="inlineStr">
        <is>
          <t>約10.3km</t>
        </is>
      </c>
    </row>
    <row r="14" ht="16" customHeight="1">
      <c r="A14" s="9" t="inlineStr">
        <is>
          <t>7/30(木)</t>
        </is>
      </c>
      <c r="B14" s="10" t="inlineStr">
        <is>
          <t>教員 1</t>
        </is>
      </c>
      <c r="C14" s="11" t="inlineStr">
        <is>
          <t>河合</t>
        </is>
      </c>
      <c r="D14" s="12" t="inlineStr">
        <is>
          <t>江南市立藤里保育園</t>
        </is>
      </c>
      <c r="E14" s="13" t="inlineStr">
        <is>
          <t>江南市藤が丘7丁目1-16</t>
        </is>
      </c>
      <c r="F14" s="14" t="inlineStr">
        <is>
          <t>2-4-7</t>
        </is>
      </c>
      <c r="G14" s="15" t="inlineStr">
        <is>
          <t>約7.2km</t>
        </is>
      </c>
    </row>
    <row r="15" ht="112" customHeight="1">
      <c r="B15" s="16" t="inlineStr">
        <is>
          <t>教員 2</t>
        </is>
      </c>
      <c r="C15" s="11" t="inlineStr">
        <is>
          <t>川瀬</t>
        </is>
      </c>
      <c r="D15" s="17" t="inlineStr">
        <is>
          <t>江南市立古知野中保育園 → 江南市立古知野西保育園 → ガレ・ドゥ・ワタナベ</t>
        </is>
      </c>
      <c r="E15" s="18" t="inlineStr">
        <is>
          <t>江南市古知野町熱田203 ／ 江南市東野町郷前48 ／ 江南市小折町八反畑8</t>
        </is>
      </c>
      <c r="F15" s="19" t="inlineStr">
        <is>
          <t>1-5-18　1-5-39　2-4-3　1-5-2　1-5-32　1-5-33　1-5-38</t>
        </is>
      </c>
      <c r="G15" s="20" t="inlineStr">
        <is>
          <t>約9.7km</t>
        </is>
      </c>
    </row>
    <row r="16" ht="144" customHeight="1">
      <c r="B16" s="21" t="inlineStr">
        <is>
          <t>教員 3</t>
        </is>
      </c>
      <c r="C16" s="11" t="inlineStr">
        <is>
          <t>小池</t>
        </is>
      </c>
      <c r="D16" s="12" t="inlineStr">
        <is>
          <t>江南市立古知野東保育園 → 江南市立小鹿保育園 → リスパック株式会社 真空成形工場</t>
        </is>
      </c>
      <c r="E16" s="13" t="inlineStr">
        <is>
          <t>江南市高屋町大師７２番地 ／ 江南市小杁町長者毛東1 ／ 愛知県犬山市羽黒宮浦1番地</t>
        </is>
      </c>
      <c r="F16" s="14" t="inlineStr">
        <is>
          <t>1-5-3　1-5-31　1-5-36　2-2-8　1-5-6　2-1-27　2-1-28　2-3-11　2-3-17</t>
        </is>
      </c>
      <c r="G16" s="15" t="inlineStr">
        <is>
          <t>約14.9km</t>
        </is>
      </c>
    </row>
    <row r="17" ht="64" customHeight="1">
      <c r="B17" s="22" t="inlineStr">
        <is>
          <t>教員 4</t>
        </is>
      </c>
      <c r="C17" s="11" t="inlineStr">
        <is>
          <t>本田</t>
        </is>
      </c>
      <c r="D17" s="17" t="inlineStr">
        <is>
          <t>ＮＸキャッシュ・ロジスティクス株式会社　中部支店</t>
        </is>
      </c>
      <c r="E17" s="18" t="inlineStr">
        <is>
          <t>愛知県名古屋市中村区並木1-81-1</t>
        </is>
      </c>
      <c r="F17" s="19" t="inlineStr">
        <is>
          <t>2-2-9　2-2-11　2-2-15　2-4-12</t>
        </is>
      </c>
      <c r="G17" s="20" t="inlineStr">
        <is>
          <t>約40.6km</t>
        </is>
      </c>
    </row>
    <row r="18" ht="96" customHeight="1">
      <c r="A18" s="9" t="inlineStr">
        <is>
          <t>7/31(金)</t>
        </is>
      </c>
      <c r="B18" s="10" t="inlineStr">
        <is>
          <t>教員 1</t>
        </is>
      </c>
      <c r="C18" s="11" t="inlineStr">
        <is>
          <t>本田</t>
        </is>
      </c>
      <c r="D18" s="12" t="inlineStr">
        <is>
          <t>江南市立布袋北保育園 → 江南市立古知野南保育園 → 江南市立宮田東保育園 → 九品寺幼稚園</t>
        </is>
      </c>
      <c r="E18" s="13" t="inlineStr">
        <is>
          <t>江南市安良町八王子137 ／ 江南市古知野町塔塚160 ／ 江南市宮田神明町栄174 ／ 一宮市真清田2-14-7</t>
        </is>
      </c>
      <c r="F18" s="14" t="inlineStr">
        <is>
          <t>1-5-28　1-5-23　2-1-17　1-5-1　1-5-25　1-5-5</t>
        </is>
      </c>
      <c r="G18" s="15" t="inlineStr">
        <is>
          <t>約21.7km</t>
        </is>
      </c>
    </row>
    <row r="19" ht="48" customHeight="1">
      <c r="B19" s="16" t="inlineStr">
        <is>
          <t>教員 2</t>
        </is>
      </c>
      <c r="C19" s="11" t="inlineStr">
        <is>
          <t>大脇</t>
        </is>
      </c>
      <c r="D19" s="17" t="inlineStr">
        <is>
          <t>東罐興業株式会社　小牧工場 → 東名化学工業株式会社　小牧工場</t>
        </is>
      </c>
      <c r="E19" s="18" t="inlineStr">
        <is>
          <t>愛知県小牧市東田中2118 ／ 小牧市大草檀之上5410</t>
        </is>
      </c>
      <c r="F19" s="19" t="inlineStr">
        <is>
          <t>1-5-34　2-3-8　2-3-13</t>
        </is>
      </c>
      <c r="G19" s="20" t="inlineStr">
        <is>
          <t>約22.3km</t>
        </is>
      </c>
    </row>
    <row r="20" ht="80" customHeight="1">
      <c r="B20" s="21" t="inlineStr">
        <is>
          <t>教員 3</t>
        </is>
      </c>
      <c r="C20" s="11" t="inlineStr">
        <is>
          <t>石黒慎</t>
        </is>
      </c>
      <c r="D20" s="12" t="inlineStr">
        <is>
          <t>グンゼ江南工場</t>
        </is>
      </c>
      <c r="E20" s="13" t="inlineStr">
        <is>
          <t>愛知県江南市村久野町鳥附１番地</t>
        </is>
      </c>
      <c r="F20" s="14" t="inlineStr">
        <is>
          <t>1-5-24　2-1-29　2-1-32　2-3-12　2-3-15</t>
        </is>
      </c>
      <c r="G20" s="15" t="inlineStr">
        <is>
          <t>約5.7km</t>
        </is>
      </c>
    </row>
    <row r="21" ht="80" customHeight="1">
      <c r="B21" s="22" t="inlineStr">
        <is>
          <t>教員 4</t>
        </is>
      </c>
      <c r="C21" s="11" t="inlineStr">
        <is>
          <t>村瀬</t>
        </is>
      </c>
      <c r="D21" s="17" t="inlineStr">
        <is>
          <t>福玉ロジスティクス株式会社　大口センター → 株式会社メイコン　本社</t>
        </is>
      </c>
      <c r="E21" s="18" t="inlineStr">
        <is>
          <t>集合場所：丹羽郡大口町御供所1-65　就業体験場所：丹羽郡大口町御供所3丁目122番地 ／ 本社（愛知県小牧市大字三ツ渕950番地）</t>
        </is>
      </c>
      <c r="F21" s="19" t="inlineStr">
        <is>
          <t>2-4-18　2-4-25　2-1-14　2-2-6　2-4-24</t>
        </is>
      </c>
      <c r="G21" s="20" t="inlineStr">
        <is>
          <t>約9.2km</t>
        </is>
      </c>
    </row>
    <row r="22" ht="112" customHeight="1">
      <c r="A22" s="9" t="inlineStr">
        <is>
          <t>8/24(月)</t>
        </is>
      </c>
      <c r="B22" s="10" t="inlineStr">
        <is>
          <t>教員 1</t>
        </is>
      </c>
      <c r="C22" s="11" t="inlineStr">
        <is>
          <t>内田</t>
        </is>
      </c>
      <c r="D22" s="12" t="inlineStr">
        <is>
          <t>美容室ISA → 江南市立古知野東保育園 → 江南市立小鹿保育園</t>
        </is>
      </c>
      <c r="E22" s="13" t="inlineStr">
        <is>
          <t>丹羽郡大口町丸2-36 メガドンキユニー大口店　1F ／ 江南市高屋町大師７２番地 ／ 江南市小杁町長者毛東1</t>
        </is>
      </c>
      <c r="F22" s="14" t="inlineStr">
        <is>
          <t>2-1-33　2-3-18　2-4-5　2-4-22　2-4-26　2-3-1　2-4-27</t>
        </is>
      </c>
      <c r="G22" s="15" t="inlineStr">
        <is>
          <t>約9.9km</t>
        </is>
      </c>
    </row>
    <row r="23" ht="80" customHeight="1">
      <c r="B23" s="16" t="inlineStr">
        <is>
          <t>教員 2</t>
        </is>
      </c>
      <c r="C23" s="11" t="inlineStr">
        <is>
          <t>本田</t>
        </is>
      </c>
      <c r="D23" s="17" t="inlineStr">
        <is>
          <t>きもの館なかね → 江南市立門弟山保育園 → 江南市立古知野西保育園</t>
        </is>
      </c>
      <c r="E23" s="18" t="inlineStr">
        <is>
          <t>愛知県江南市古知野町本郷３４ ／ 江南市村久野町門弟山271 ／ 江南市東野町郷前48</t>
        </is>
      </c>
      <c r="F23" s="19" t="inlineStr">
        <is>
          <t>2-4-2　2-4-4　2-1-3　2-3-3　2-4-8</t>
        </is>
      </c>
      <c r="G23" s="20" t="inlineStr">
        <is>
          <t>約8.5km</t>
        </is>
      </c>
    </row>
    <row r="24" ht="48" customHeight="1">
      <c r="B24" s="21" t="inlineStr">
        <is>
          <t>教員 3</t>
        </is>
      </c>
      <c r="C24" s="11" t="inlineStr">
        <is>
          <t>松本</t>
        </is>
      </c>
      <c r="D24" s="12" t="inlineStr">
        <is>
          <t>福玉米粒麦株式会社 → 江南市立布袋保育園</t>
        </is>
      </c>
      <c r="E24" s="13" t="inlineStr">
        <is>
          <t>愛知県江南市南山町西31 ／ 江南市布袋下山町南70</t>
        </is>
      </c>
      <c r="F24" s="14" t="inlineStr">
        <is>
          <t>2-1-22　2-2-1　2-2-12</t>
        </is>
      </c>
      <c r="G24" s="15" t="inlineStr">
        <is>
          <t>約5.7km</t>
        </is>
      </c>
    </row>
    <row r="25" ht="128" customHeight="1">
      <c r="A25" s="9" t="inlineStr">
        <is>
          <t>8/25(火)</t>
        </is>
      </c>
      <c r="B25" s="10" t="inlineStr">
        <is>
          <t>教員 1</t>
        </is>
      </c>
      <c r="C25" s="11" t="inlineStr">
        <is>
          <t>中原</t>
        </is>
      </c>
      <c r="D25" s="17" t="inlineStr">
        <is>
          <t>株式会社青山製作所　大口工場 → 株式会社東海理化電機製作所 → 江南郵便局</t>
        </is>
      </c>
      <c r="E25" s="18" t="inlineStr">
        <is>
          <t>愛知県丹羽郡大口町高橋一丁目8番地 ／ 愛知県丹羽郡大口町豊田三丁目260番地 ／ 江南市赤童子町良原143-1</t>
        </is>
      </c>
      <c r="F25" s="19" t="inlineStr">
        <is>
          <t>2-3-10　2-4-13　2-1-34　2-1-35　2-4-29　2-1-7　2-2-3　2-2-5</t>
        </is>
      </c>
      <c r="G25" s="20" t="inlineStr">
        <is>
          <t>約8.7km</t>
        </is>
      </c>
    </row>
    <row r="26" ht="48" customHeight="1">
      <c r="B26" s="16" t="inlineStr">
        <is>
          <t>教員 2</t>
        </is>
      </c>
      <c r="C26" s="11" t="inlineStr">
        <is>
          <t>堀場</t>
        </is>
      </c>
      <c r="D26" s="12" t="inlineStr">
        <is>
          <t>江南市立宮田南保育園 → 江南市立宮田東保育園</t>
        </is>
      </c>
      <c r="E26" s="13" t="inlineStr">
        <is>
          <t>江南市前飛保町西町　2 ／ 江南市宮田神明町栄174</t>
        </is>
      </c>
      <c r="F26" s="14" t="inlineStr">
        <is>
          <t>2-1-18　2-4-6　2-1-2</t>
        </is>
      </c>
      <c r="G26" s="15" t="inlineStr">
        <is>
          <t>約9.6km</t>
        </is>
      </c>
    </row>
    <row r="27" ht="64" customHeight="1">
      <c r="B27" s="21" t="inlineStr">
        <is>
          <t>教員 3</t>
        </is>
      </c>
      <c r="C27" s="11" t="inlineStr">
        <is>
          <t>大橋</t>
        </is>
      </c>
      <c r="D27" s="17" t="inlineStr">
        <is>
          <t>株式会社愛知イエローハット　一宮店 → TJ天気予報 7mm 北名古屋店</t>
        </is>
      </c>
      <c r="E27" s="18" t="inlineStr">
        <is>
          <t>一宮市緑４－３ー１３ ／ 北名古屋市鹿田才海82番2</t>
        </is>
      </c>
      <c r="F27" s="19" t="inlineStr">
        <is>
          <t>2-2-2　2-2-18　2-1-10　2-1-31</t>
        </is>
      </c>
      <c r="G27" s="20" t="inlineStr">
        <is>
          <t>約27.0km</t>
        </is>
      </c>
    </row>
    <row r="28" ht="64" customHeight="1">
      <c r="A28" s="9" t="inlineStr">
        <is>
          <t>8/26(水)</t>
        </is>
      </c>
      <c r="B28" s="10" t="inlineStr">
        <is>
          <t>教員 1</t>
        </is>
      </c>
      <c r="C28" s="11" t="inlineStr">
        <is>
          <t>堀場</t>
        </is>
      </c>
      <c r="D28" s="12" t="inlineStr">
        <is>
          <t>株式会社綿半ホームエイド江南店 → 江南市立布袋東保育園</t>
        </is>
      </c>
      <c r="E28" s="13" t="inlineStr">
        <is>
          <t>江南市上奈良町緑13 ／ 江南市小折町八反畑１４７</t>
        </is>
      </c>
      <c r="F28" s="14" t="inlineStr">
        <is>
          <t>2-1-9　2-1-20　2-1-24　2-2-10</t>
        </is>
      </c>
      <c r="G28" s="15" t="inlineStr">
        <is>
          <t>約8.6km</t>
        </is>
      </c>
    </row>
    <row r="29" ht="80" customHeight="1">
      <c r="B29" s="16" t="inlineStr">
        <is>
          <t>教員 2</t>
        </is>
      </c>
      <c r="C29" s="11" t="inlineStr">
        <is>
          <t>藤田</t>
        </is>
      </c>
      <c r="D29" s="17" t="inlineStr">
        <is>
          <t>株式会社愛知イエローハット　一宮店 → サロンド榮 → 九品寺幼稚園</t>
        </is>
      </c>
      <c r="E29" s="18" t="inlineStr">
        <is>
          <t>一宮市緑４－３ー１３ ／ 一宮市浅野西大土106 ／ 一宮市真清田2-14-7</t>
        </is>
      </c>
      <c r="F29" s="19" t="inlineStr">
        <is>
          <t>2-2-7　2-3-16　2-1-26　2-1-8　2-4-9</t>
        </is>
      </c>
      <c r="G29" s="20" t="inlineStr">
        <is>
          <t>約19.1km</t>
        </is>
      </c>
    </row>
    <row r="30" ht="32" customHeight="1">
      <c r="B30" s="21" t="inlineStr">
        <is>
          <t>教員 3</t>
        </is>
      </c>
      <c r="C30" s="11" t="inlineStr">
        <is>
          <t>藤村</t>
        </is>
      </c>
      <c r="D30" s="12" t="inlineStr">
        <is>
          <t>株式会社デンケン</t>
        </is>
      </c>
      <c r="E30" s="13" t="inlineStr">
        <is>
          <t>愛知県犬山市大字羽黒字馬道7番地1</t>
        </is>
      </c>
      <c r="F30" s="14" t="inlineStr">
        <is>
          <t>2-1-25　2-4-28</t>
        </is>
      </c>
      <c r="G30" s="15" t="inlineStr">
        <is>
          <t>約15.5km</t>
        </is>
      </c>
    </row>
    <row r="31" ht="80" customHeight="1">
      <c r="B31" s="22" t="inlineStr">
        <is>
          <t>教員 4</t>
        </is>
      </c>
      <c r="C31" s="11" t="inlineStr">
        <is>
          <t>森田</t>
        </is>
      </c>
      <c r="D31" s="17" t="inlineStr">
        <is>
          <t>アメーテールアーム → アイカテック建材株式会社名古屋工場</t>
        </is>
      </c>
      <c r="E31" s="18" t="inlineStr">
        <is>
          <t>愛知県小牧市市之久田1-73-1 ／ 愛知県海部郡大治町大字西條字西之川２５</t>
        </is>
      </c>
      <c r="F31" s="19" t="inlineStr">
        <is>
          <t>2-1-12　2-4-10　2-3-5　2-3-19　2-4-17</t>
        </is>
      </c>
      <c r="G31" s="20" t="inlineStr">
        <is>
          <t>約38.7km</t>
        </is>
      </c>
    </row>
    <row r="32" ht="96" customHeight="1">
      <c r="A32" s="9" t="inlineStr">
        <is>
          <t>8/27(木)</t>
        </is>
      </c>
      <c r="B32" s="10" t="inlineStr">
        <is>
          <t>教員 1</t>
        </is>
      </c>
      <c r="C32" s="11" t="inlineStr">
        <is>
          <t>中原</t>
        </is>
      </c>
      <c r="D32" s="12" t="inlineStr">
        <is>
          <t>株式会社林商店 → 江南市立宮田保育園 → 株式会社デンケン</t>
        </is>
      </c>
      <c r="E32" s="13" t="inlineStr">
        <is>
          <t>愛知県江南市野白町東千丸88 ／ 江南市飛保町新開23 ／ 愛知県犬山市大字羽黒字馬道7番地1</t>
        </is>
      </c>
      <c r="F32" s="14" t="inlineStr">
        <is>
          <t>2-4-15　2-4-19　2-1-30　2-2-19　2-3-14　2-4-16</t>
        </is>
      </c>
      <c r="G32" s="15" t="inlineStr">
        <is>
          <t>約20.5km</t>
        </is>
      </c>
    </row>
    <row r="33" ht="80" customHeight="1">
      <c r="B33" s="16" t="inlineStr">
        <is>
          <t>教員 2</t>
        </is>
      </c>
      <c r="C33" s="11" t="inlineStr">
        <is>
          <t>横井</t>
        </is>
      </c>
      <c r="D33" s="17" t="inlineStr">
        <is>
          <t>江南市立布袋東保育園 → 株式会社愛知イエローハット　一宮店 → FUSION</t>
        </is>
      </c>
      <c r="E33" s="18" t="inlineStr">
        <is>
          <t>江南市小折町八反畑１４７ ／ 一宮市緑４－３ー１３ ／ 一宮市大江2-9-19</t>
        </is>
      </c>
      <c r="F33" s="19" t="inlineStr">
        <is>
          <t>2-3-6　2-4-23　2-2-16　2-3-7　2-2-17</t>
        </is>
      </c>
      <c r="G33" s="20" t="inlineStr">
        <is>
          <t>約18.3km</t>
        </is>
      </c>
    </row>
    <row r="34" ht="80" customHeight="1">
      <c r="A34" s="9" t="inlineStr">
        <is>
          <t>8/28(金)</t>
        </is>
      </c>
      <c r="B34" s="10" t="inlineStr">
        <is>
          <t>教員 1</t>
        </is>
      </c>
      <c r="C34" s="11" t="inlineStr">
        <is>
          <t>大藪</t>
        </is>
      </c>
      <c r="D34" s="12" t="inlineStr">
        <is>
          <t>江南市立布袋北保育園 → 江南市立古知野北保育園</t>
        </is>
      </c>
      <c r="E34" s="13" t="inlineStr">
        <is>
          <t>江南市安良町八王子137 ／ 江南市勝佐町田代137番地</t>
        </is>
      </c>
      <c r="F34" s="14" t="inlineStr">
        <is>
          <t>2-1-23　2-1-4　2-3-2　2-3-4　2-3-9</t>
        </is>
      </c>
      <c r="G34" s="15" t="inlineStr">
        <is>
          <t>約7.0km</t>
        </is>
      </c>
    </row>
  </sheetData>
  <mergeCells count="11">
    <mergeCell ref="A18:A21"/>
    <mergeCell ref="A32:A33"/>
    <mergeCell ref="A7:A9"/>
    <mergeCell ref="A1:G1"/>
    <mergeCell ref="A4:A6"/>
    <mergeCell ref="A25:A27"/>
    <mergeCell ref="A28:A31"/>
    <mergeCell ref="A2:G2"/>
    <mergeCell ref="A14:A17"/>
    <mergeCell ref="A22:A24"/>
    <mergeCell ref="A10:A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7/27(月)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'全日程一覧'!C4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きもの館なかね</t>
        </is>
      </c>
      <c r="C6" s="14" t="inlineStr">
        <is>
          <t>愛知県江南市古知野町本郷３４</t>
        </is>
      </c>
      <c r="D6" s="29" t="inlineStr">
        <is>
          <t>約1.8km</t>
        </is>
      </c>
      <c r="E6" s="30" t="inlineStr">
        <is>
          <t>1-5-9</t>
        </is>
      </c>
      <c r="F6" s="31">
        <f>IFERROR(VLOOKUP(E6,生徒データ!$A$3:$E$146,5,FALSE),"")</f>
        <v/>
      </c>
    </row>
    <row r="7" ht="18" customHeight="1">
      <c r="E7" s="32" t="inlineStr">
        <is>
          <t>1-5-10</t>
        </is>
      </c>
      <c r="F7" s="33">
        <f>IFERROR(VLOOKUP(E7,生徒データ!$A$3:$E$146,5,FALSE),"")</f>
        <v/>
      </c>
    </row>
    <row r="8" ht="18" customHeight="1">
      <c r="A8" s="27" t="n">
        <v>2</v>
      </c>
      <c r="B8" s="28" t="inlineStr">
        <is>
          <t>江南市立宮田南保育園</t>
        </is>
      </c>
      <c r="C8" s="14" t="inlineStr">
        <is>
          <t>江南市前飛保町西町　2</t>
        </is>
      </c>
      <c r="D8" s="29" t="inlineStr">
        <is>
          <t>約1.9km</t>
        </is>
      </c>
      <c r="E8" s="30" t="inlineStr">
        <is>
          <t>1-5-26</t>
        </is>
      </c>
      <c r="F8" s="31">
        <f>IFERROR(VLOOKUP(E8,生徒データ!$A$3:$E$146,5,FALSE),"")</f>
        <v/>
      </c>
    </row>
    <row r="9" ht="18" customHeight="1">
      <c r="A9" s="27" t="n">
        <v>3</v>
      </c>
      <c r="B9" s="28" t="inlineStr">
        <is>
          <t>株式会社扶桑守口食品</t>
        </is>
      </c>
      <c r="C9" s="14" t="inlineStr">
        <is>
          <t>愛知県丹羽郡扶桑町大字山那字屋敷地757</t>
        </is>
      </c>
      <c r="D9" s="29" t="inlineStr">
        <is>
          <t>約5.8km</t>
        </is>
      </c>
      <c r="E9" s="30" t="inlineStr">
        <is>
          <t>1-5-30</t>
        </is>
      </c>
      <c r="F9" s="31">
        <f>IFERROR(VLOOKUP(E9,生徒データ!$A$3:$E$146,5,FALSE),"")</f>
        <v/>
      </c>
    </row>
    <row r="10" ht="18" customHeight="1">
      <c r="E10" s="32" t="inlineStr">
        <is>
          <t>1-5-40</t>
        </is>
      </c>
      <c r="F10" s="33">
        <f>IFERROR(VLOOKUP(E10,生徒データ!$A$3:$E$146,5,FALSE),"")</f>
        <v/>
      </c>
    </row>
    <row r="11" ht="16" customHeight="1">
      <c r="A11" s="34" t="inlineStr">
        <is>
          <t>合計　3社 / 5名 / 約14.1km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22">
    <mergeCell ref="A8"/>
    <mergeCell ref="A16:F16"/>
    <mergeCell ref="C8"/>
    <mergeCell ref="B3:F3"/>
    <mergeCell ref="D8"/>
    <mergeCell ref="A6:A7"/>
    <mergeCell ref="A2:F2"/>
    <mergeCell ref="C9:C10"/>
    <mergeCell ref="A14:F14"/>
    <mergeCell ref="A17:F17"/>
    <mergeCell ref="A4:F4"/>
    <mergeCell ref="B6:B7"/>
    <mergeCell ref="B9:B10"/>
    <mergeCell ref="D9:D10"/>
    <mergeCell ref="A13:F13"/>
    <mergeCell ref="A15:F15"/>
    <mergeCell ref="B8"/>
    <mergeCell ref="A11:F11"/>
    <mergeCell ref="A9:A10"/>
    <mergeCell ref="A1:F1"/>
    <mergeCell ref="C6:C7"/>
    <mergeCell ref="D6:D7"/>
  </mergeCells>
  <pageMargins left="0.5" right="0.5" top="0.7" bottom="0.7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7/27(月)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'全日程一覧'!C5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株式会社青山製作所　大口工場</t>
        </is>
      </c>
      <c r="C6" s="14" t="inlineStr">
        <is>
          <t>愛知県丹羽郡大口町高橋一丁目8番地</t>
        </is>
      </c>
      <c r="D6" s="29" t="inlineStr">
        <is>
          <t>約1.1km</t>
        </is>
      </c>
      <c r="E6" s="30" t="inlineStr">
        <is>
          <t>1-5-17</t>
        </is>
      </c>
      <c r="F6" s="31">
        <f>IFERROR(VLOOKUP(E6,生徒データ!$A$3:$E$146,5,FALSE),"")</f>
        <v/>
      </c>
    </row>
    <row r="7" ht="18" customHeight="1">
      <c r="E7" s="32" t="inlineStr">
        <is>
          <t>2-1-11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大口屋木賀工場</t>
        </is>
      </c>
      <c r="C8" s="14" t="inlineStr">
        <is>
          <t>江南市木賀町定和244-1 その他</t>
        </is>
      </c>
      <c r="D8" s="29" t="inlineStr">
        <is>
          <t>約2.4km</t>
        </is>
      </c>
      <c r="E8" s="30" t="inlineStr">
        <is>
          <t>1-5-20</t>
        </is>
      </c>
      <c r="F8" s="31">
        <f>IFERROR(VLOOKUP(E8,生徒データ!$A$3:$E$146,5,FALSE),"")</f>
        <v/>
      </c>
    </row>
    <row r="9" ht="18" customHeight="1">
      <c r="E9" s="32" t="inlineStr">
        <is>
          <t>1-5-21</t>
        </is>
      </c>
      <c r="F9" s="33">
        <f>IFERROR(VLOOKUP(E9,生徒データ!$A$3:$E$146,5,FALSE),"")</f>
        <v/>
      </c>
    </row>
    <row r="10" ht="16" customHeight="1">
      <c r="A10" s="34" t="inlineStr">
        <is>
          <t>合計　2社 / 4名 / 約5.8km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18">
    <mergeCell ref="A2:F2"/>
    <mergeCell ref="A16:F16"/>
    <mergeCell ref="A8:A9"/>
    <mergeCell ref="A10:F10"/>
    <mergeCell ref="C8:C9"/>
    <mergeCell ref="A13:F13"/>
    <mergeCell ref="A14:F14"/>
    <mergeCell ref="A1:F1"/>
    <mergeCell ref="B3:F3"/>
    <mergeCell ref="D8:D9"/>
    <mergeCell ref="B8:B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7/27(月)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'全日程一覧'!C6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ドコモショップ江南店</t>
        </is>
      </c>
      <c r="C6" s="14" t="inlineStr">
        <is>
          <t>愛知県江南市木賀町定和163</t>
        </is>
      </c>
      <c r="D6" s="29" t="inlineStr">
        <is>
          <t>約2.4km</t>
        </is>
      </c>
      <c r="E6" s="30" t="inlineStr">
        <is>
          <t>2-1-6</t>
        </is>
      </c>
      <c r="F6" s="31">
        <f>IFERROR(VLOOKUP(E6,生徒データ!$A$3:$E$146,5,FALSE),"")</f>
        <v/>
      </c>
    </row>
    <row r="7" ht="18" customHeight="1">
      <c r="E7" s="32" t="inlineStr">
        <is>
          <t>2-1-13</t>
        </is>
      </c>
      <c r="F7" s="33">
        <f>IFERROR(VLOOKUP(E7,生徒データ!$A$3:$E$146,5,FALSE),"")</f>
        <v/>
      </c>
    </row>
    <row r="8" ht="18" customHeight="1">
      <c r="A8" s="40" t="n">
        <v>2</v>
      </c>
      <c r="B8" s="28" t="inlineStr">
        <is>
          <t>江南市立藤里保育園</t>
        </is>
      </c>
      <c r="C8" s="14" t="inlineStr">
        <is>
          <t>江南市藤が丘7丁目1-16</t>
        </is>
      </c>
      <c r="D8" s="29" t="inlineStr">
        <is>
          <t>約3.4km</t>
        </is>
      </c>
      <c r="E8" s="30" t="inlineStr">
        <is>
          <t>2-1-36</t>
        </is>
      </c>
      <c r="F8" s="31">
        <f>IFERROR(VLOOKUP(E8,生徒データ!$A$3:$E$146,5,FALSE),"")</f>
        <v/>
      </c>
    </row>
    <row r="9" ht="18" customHeight="1">
      <c r="A9" s="40" t="n">
        <v>3</v>
      </c>
      <c r="B9" s="28" t="inlineStr">
        <is>
          <t>GARN（ガルン）　モゾワンダーシティ店</t>
        </is>
      </c>
      <c r="C9" s="14" t="inlineStr">
        <is>
          <t>愛知県名古屋市西区二方町40番</t>
        </is>
      </c>
      <c r="D9" s="29" t="inlineStr">
        <is>
          <t>約14.3km</t>
        </is>
      </c>
      <c r="E9" s="30" t="inlineStr">
        <is>
          <t>2-4-1</t>
        </is>
      </c>
      <c r="F9" s="31">
        <f>IFERROR(VLOOKUP(E9,生徒データ!$A$3:$E$146,5,FALSE),"")</f>
        <v/>
      </c>
    </row>
    <row r="10" ht="16" customHeight="1">
      <c r="A10" s="34" t="inlineStr">
        <is>
          <t>合計　3社 / 4名 / 約32.1km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22">
    <mergeCell ref="A8"/>
    <mergeCell ref="A16:F16"/>
    <mergeCell ref="C8"/>
    <mergeCell ref="B9"/>
    <mergeCell ref="D9"/>
    <mergeCell ref="B3:F3"/>
    <mergeCell ref="D8"/>
    <mergeCell ref="A12:F12"/>
    <mergeCell ref="A6:A7"/>
    <mergeCell ref="A2:F2"/>
    <mergeCell ref="A9"/>
    <mergeCell ref="A14:F14"/>
    <mergeCell ref="A4:F4"/>
    <mergeCell ref="B6:B7"/>
    <mergeCell ref="A10:F10"/>
    <mergeCell ref="A13:F13"/>
    <mergeCell ref="A15:F15"/>
    <mergeCell ref="C9"/>
    <mergeCell ref="B8"/>
    <mergeCell ref="A1:F1"/>
    <mergeCell ref="C6:C7"/>
    <mergeCell ref="D6:D7"/>
  </mergeCells>
  <pageMargins left="0.5" right="0.5" top="0.7" bottom="0.7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7/28(火)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'全日程一覧'!C7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江南中央食品</t>
        </is>
      </c>
      <c r="C6" s="14" t="inlineStr">
        <is>
          <t>江南市古知野町北屋敷242</t>
        </is>
      </c>
      <c r="D6" s="29" t="inlineStr">
        <is>
          <t>約2.0km</t>
        </is>
      </c>
      <c r="E6" s="30" t="inlineStr">
        <is>
          <t>1-5-8</t>
        </is>
      </c>
      <c r="F6" s="31">
        <f>IFERROR(VLOOKUP(E6,生徒データ!$A$3:$E$146,5,FALSE),"")</f>
        <v/>
      </c>
    </row>
    <row r="7" ht="18" customHeight="1">
      <c r="A7" s="27" t="n">
        <v>2</v>
      </c>
      <c r="B7" s="28" t="inlineStr">
        <is>
          <t>大口屋木賀工場</t>
        </is>
      </c>
      <c r="C7" s="14" t="inlineStr">
        <is>
          <t>江南市木賀町定和244-1 その他</t>
        </is>
      </c>
      <c r="D7" s="29" t="inlineStr">
        <is>
          <t>約1.8km</t>
        </is>
      </c>
      <c r="E7" s="30" t="inlineStr">
        <is>
          <t>1-5-29</t>
        </is>
      </c>
      <c r="F7" s="31">
        <f>IFERROR(VLOOKUP(E7,生徒データ!$A$3:$E$146,5,FALSE),"")</f>
        <v/>
      </c>
    </row>
    <row r="8" ht="18" customHeight="1">
      <c r="E8" s="32" t="inlineStr">
        <is>
          <t>1-5-37</t>
        </is>
      </c>
      <c r="F8" s="33">
        <f>IFERROR(VLOOKUP(E8,生徒データ!$A$3:$E$146,5,FALSE),"")</f>
        <v/>
      </c>
    </row>
    <row r="9" ht="18" customHeight="1">
      <c r="A9" s="27" t="n">
        <v>3</v>
      </c>
      <c r="B9" s="28" t="inlineStr">
        <is>
          <t>株式会社扶桑守口食品</t>
        </is>
      </c>
      <c r="C9" s="14" t="inlineStr">
        <is>
          <t>愛知県丹羽郡扶桑町大字山那字屋敷地757</t>
        </is>
      </c>
      <c r="D9" s="29" t="inlineStr">
        <is>
          <t>約6.4km</t>
        </is>
      </c>
      <c r="E9" s="30" t="inlineStr">
        <is>
          <t>1-5-7</t>
        </is>
      </c>
      <c r="F9" s="31">
        <f>IFERROR(VLOOKUP(E9,生徒データ!$A$3:$E$146,5,FALSE),"")</f>
        <v/>
      </c>
    </row>
    <row r="10" ht="18" customHeight="1">
      <c r="E10" s="32" t="inlineStr">
        <is>
          <t>1-5-15</t>
        </is>
      </c>
      <c r="F10" s="33">
        <f>IFERROR(VLOOKUP(E10,生徒データ!$A$3:$E$146,5,FALSE),"")</f>
        <v/>
      </c>
    </row>
    <row r="11" ht="16" customHeight="1">
      <c r="A11" s="34" t="inlineStr">
        <is>
          <t>合計　3社 / 5名 / 約14.7km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22">
    <mergeCell ref="A16:F16"/>
    <mergeCell ref="B3:F3"/>
    <mergeCell ref="B6"/>
    <mergeCell ref="A7:A8"/>
    <mergeCell ref="A2:F2"/>
    <mergeCell ref="C9:C10"/>
    <mergeCell ref="A14:F14"/>
    <mergeCell ref="D7:D8"/>
    <mergeCell ref="C6"/>
    <mergeCell ref="A17:F17"/>
    <mergeCell ref="A4:F4"/>
    <mergeCell ref="B9:B10"/>
    <mergeCell ref="A6"/>
    <mergeCell ref="D9:D10"/>
    <mergeCell ref="A13:F13"/>
    <mergeCell ref="D6"/>
    <mergeCell ref="C7:C8"/>
    <mergeCell ref="A15:F15"/>
    <mergeCell ref="A11:F11"/>
    <mergeCell ref="A9:A10"/>
    <mergeCell ref="A1:F1"/>
    <mergeCell ref="B7:B8"/>
  </mergeCells>
  <pageMargins left="0.5" right="0.5" top="0.7" bottom="0.7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7/28(火)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'全日程一覧'!C8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サンハウス食品株式会社</t>
        </is>
      </c>
      <c r="C6" s="14" t="inlineStr">
        <is>
          <t>愛知県江南市高屋町西里７７番地</t>
        </is>
      </c>
      <c r="D6" s="29" t="inlineStr">
        <is>
          <t>約2.6km</t>
        </is>
      </c>
      <c r="E6" s="30" t="inlineStr">
        <is>
          <t>1-5-16</t>
        </is>
      </c>
      <c r="F6" s="31">
        <f>IFERROR(VLOOKUP(E6,生徒データ!$A$3:$E$146,5,FALSE),"")</f>
        <v/>
      </c>
    </row>
    <row r="7" ht="18" customHeight="1">
      <c r="E7" s="32" t="inlineStr">
        <is>
          <t>1-5-19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江南市立草井保育園</t>
        </is>
      </c>
      <c r="C8" s="14" t="inlineStr">
        <is>
          <t>江南市草井町若草57</t>
        </is>
      </c>
      <c r="D8" s="29" t="inlineStr">
        <is>
          <t>約1.9km</t>
        </is>
      </c>
      <c r="E8" s="30" t="inlineStr">
        <is>
          <t>1-5-12</t>
        </is>
      </c>
      <c r="F8" s="31">
        <f>IFERROR(VLOOKUP(E8,生徒データ!$A$3:$E$146,5,FALSE),"")</f>
        <v/>
      </c>
    </row>
    <row r="9" ht="18" customHeight="1">
      <c r="E9" s="32" t="inlineStr">
        <is>
          <t>1-5-14</t>
        </is>
      </c>
      <c r="F9" s="33">
        <f>IFERROR(VLOOKUP(E9,生徒データ!$A$3:$E$146,5,FALSE),"")</f>
        <v/>
      </c>
    </row>
    <row r="10" ht="16" customHeight="1">
      <c r="A10" s="34" t="inlineStr">
        <is>
          <t>合計　2社 / 4名 / 約8.3km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18">
    <mergeCell ref="A2:F2"/>
    <mergeCell ref="A16:F16"/>
    <mergeCell ref="A8:A9"/>
    <mergeCell ref="A10:F10"/>
    <mergeCell ref="C8:C9"/>
    <mergeCell ref="A13:F13"/>
    <mergeCell ref="A14:F14"/>
    <mergeCell ref="A1:F1"/>
    <mergeCell ref="B3:F3"/>
    <mergeCell ref="D8:D9"/>
    <mergeCell ref="B8:B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7/28(火)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'全日程一覧'!C9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江南市立藤里保育園</t>
        </is>
      </c>
      <c r="C6" s="14" t="inlineStr">
        <is>
          <t>江南市藤が丘7丁目1-16</t>
        </is>
      </c>
      <c r="D6" s="29" t="inlineStr">
        <is>
          <t>約3.6km</t>
        </is>
      </c>
      <c r="E6" s="30" t="inlineStr">
        <is>
          <t>2-2-13</t>
        </is>
      </c>
      <c r="F6" s="31">
        <f>IFERROR(VLOOKUP(E6,生徒データ!$A$3:$E$146,5,FALSE),"")</f>
        <v/>
      </c>
    </row>
    <row r="7" ht="18" customHeight="1">
      <c r="A7" s="40" t="n">
        <v>2</v>
      </c>
      <c r="B7" s="28" t="inlineStr">
        <is>
          <t>東名化学工業株式会社　小牧工場</t>
        </is>
      </c>
      <c r="C7" s="14" t="inlineStr">
        <is>
          <t>小牧市大草檀之上5410</t>
        </is>
      </c>
      <c r="D7" s="29" t="inlineStr">
        <is>
          <t>約14.3km</t>
        </is>
      </c>
      <c r="E7" s="30" t="inlineStr">
        <is>
          <t>2-1-15</t>
        </is>
      </c>
      <c r="F7" s="31">
        <f>IFERROR(VLOOKUP(E7,生徒データ!$A$3:$E$146,5,FALSE),"")</f>
        <v/>
      </c>
    </row>
    <row r="8" ht="18" customHeight="1">
      <c r="E8" s="32" t="inlineStr">
        <is>
          <t>2-4-20</t>
        </is>
      </c>
      <c r="F8" s="33">
        <f>IFERROR(VLOOKUP(E8,生徒データ!$A$3:$E$146,5,FALSE),"")</f>
        <v/>
      </c>
    </row>
    <row r="9" ht="16" customHeight="1">
      <c r="A9" s="34" t="inlineStr">
        <is>
          <t>合計　2社 / 3名 / 約28.7km</t>
        </is>
      </c>
    </row>
    <row r="11">
      <c r="A11" s="35" t="inlineStr">
        <is>
          <t>備考・メモ</t>
        </is>
      </c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</sheetData>
  <mergeCells count="18">
    <mergeCell ref="A2:F2"/>
    <mergeCell ref="A11:F11"/>
    <mergeCell ref="A6"/>
    <mergeCell ref="A13:F13"/>
    <mergeCell ref="A14:F14"/>
    <mergeCell ref="A1:F1"/>
    <mergeCell ref="B3:F3"/>
    <mergeCell ref="D6"/>
    <mergeCell ref="B6"/>
    <mergeCell ref="A7:A8"/>
    <mergeCell ref="B7:B8"/>
    <mergeCell ref="C6"/>
    <mergeCell ref="C7:C8"/>
    <mergeCell ref="D7:D8"/>
    <mergeCell ref="A4:F4"/>
    <mergeCell ref="A9:F9"/>
    <mergeCell ref="A12:F12"/>
    <mergeCell ref="A15:F15"/>
  </mergeCells>
  <pageMargins left="0.5" right="0.5" top="0.7" bottom="0.7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7/29(水)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'全日程一覧'!C10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江南中央食品</t>
        </is>
      </c>
      <c r="C6" s="14" t="inlineStr">
        <is>
          <t>江南市古知野町北屋敷242</t>
        </is>
      </c>
      <c r="D6" s="29" t="inlineStr">
        <is>
          <t>約2.0km</t>
        </is>
      </c>
      <c r="E6" s="30" t="inlineStr">
        <is>
          <t>1-5-35</t>
        </is>
      </c>
      <c r="F6" s="31">
        <f>IFERROR(VLOOKUP(E6,生徒データ!$A$3:$E$146,5,FALSE),"")</f>
        <v/>
      </c>
    </row>
    <row r="7" ht="18" customHeight="1">
      <c r="A7" s="27" t="n">
        <v>2</v>
      </c>
      <c r="B7" s="28" t="inlineStr">
        <is>
          <t>榮美容室本店</t>
        </is>
      </c>
      <c r="C7" s="14" t="inlineStr">
        <is>
          <t>一宮市大江2-9-16</t>
        </is>
      </c>
      <c r="D7" s="29" t="inlineStr">
        <is>
          <t>約7.2km</t>
        </is>
      </c>
      <c r="E7" s="30" t="inlineStr">
        <is>
          <t>1-5-27</t>
        </is>
      </c>
      <c r="F7" s="31">
        <f>IFERROR(VLOOKUP(E7,生徒データ!$A$3:$E$146,5,FALSE),"")</f>
        <v/>
      </c>
    </row>
    <row r="8" ht="16" customHeight="1">
      <c r="A8" s="34" t="inlineStr">
        <is>
          <t>合計　2社 / 2名 / 約17.9km</t>
        </is>
      </c>
    </row>
    <row r="10">
      <c r="A10" s="35" t="inlineStr">
        <is>
          <t>備考・メモ</t>
        </is>
      </c>
    </row>
    <row r="11" ht="18" customHeight="1">
      <c r="A11" s="36" t="inlineStr"/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</sheetData>
  <mergeCells count="18">
    <mergeCell ref="A2:F2"/>
    <mergeCell ref="A11:F11"/>
    <mergeCell ref="A6"/>
    <mergeCell ref="A10:F10"/>
    <mergeCell ref="A13:F13"/>
    <mergeCell ref="A14:F14"/>
    <mergeCell ref="A1:F1"/>
    <mergeCell ref="C7"/>
    <mergeCell ref="B3:F3"/>
    <mergeCell ref="D6"/>
    <mergeCell ref="B6"/>
    <mergeCell ref="A7"/>
    <mergeCell ref="B7"/>
    <mergeCell ref="C6"/>
    <mergeCell ref="D7"/>
    <mergeCell ref="A8:F8"/>
    <mergeCell ref="A4:F4"/>
    <mergeCell ref="A12:F12"/>
  </mergeCells>
  <pageMargins left="0.5" right="0.5" top="0.7" bottom="0.7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7/29(水)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'全日程一覧'!C11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江南市立布袋西保育園</t>
        </is>
      </c>
      <c r="C6" s="14" t="inlineStr">
        <is>
          <t>江南市木賀町定和３１</t>
        </is>
      </c>
      <c r="D6" s="29" t="inlineStr">
        <is>
          <t>約2.4km</t>
        </is>
      </c>
      <c r="E6" s="30" t="inlineStr">
        <is>
          <t>1-5-4</t>
        </is>
      </c>
      <c r="F6" s="31">
        <f>IFERROR(VLOOKUP(E6,生徒データ!$A$3:$E$146,5,FALSE),"")</f>
        <v/>
      </c>
    </row>
    <row r="7" ht="18" customHeight="1">
      <c r="E7" s="32" t="inlineStr">
        <is>
          <t>1-5-22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ガレ・ドゥ・ワタナベ</t>
        </is>
      </c>
      <c r="C8" s="14" t="inlineStr">
        <is>
          <t>江南市小折町八反畑8</t>
        </is>
      </c>
      <c r="D8" s="29" t="inlineStr">
        <is>
          <t>約1.5km</t>
        </is>
      </c>
      <c r="E8" s="30" t="inlineStr">
        <is>
          <t>1-5-11</t>
        </is>
      </c>
      <c r="F8" s="31">
        <f>IFERROR(VLOOKUP(E8,生徒データ!$A$3:$E$146,5,FALSE),"")</f>
        <v/>
      </c>
    </row>
    <row r="9" ht="18" customHeight="1">
      <c r="E9" s="32" t="inlineStr">
        <is>
          <t>1-5-13</t>
        </is>
      </c>
      <c r="F9" s="33">
        <f>IFERROR(VLOOKUP(E9,生徒データ!$A$3:$E$146,5,FALSE),"")</f>
        <v/>
      </c>
    </row>
    <row r="10" ht="16" customHeight="1">
      <c r="A10" s="34" t="inlineStr">
        <is>
          <t>合計　2社 / 4名 / 約6.4km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18">
    <mergeCell ref="A2:F2"/>
    <mergeCell ref="A16:F16"/>
    <mergeCell ref="A8:A9"/>
    <mergeCell ref="A10:F10"/>
    <mergeCell ref="C8:C9"/>
    <mergeCell ref="A13:F13"/>
    <mergeCell ref="A14:F14"/>
    <mergeCell ref="A1:F1"/>
    <mergeCell ref="B3:F3"/>
    <mergeCell ref="D8:D9"/>
    <mergeCell ref="B8:B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7/29(水)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'全日程一覧'!C12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株式会社綿半ホームエイド江南店</t>
        </is>
      </c>
      <c r="C6" s="14" t="inlineStr">
        <is>
          <t>江南市上奈良町緑13</t>
        </is>
      </c>
      <c r="D6" s="29" t="inlineStr">
        <is>
          <t>約2.9km</t>
        </is>
      </c>
      <c r="E6" s="30" t="inlineStr">
        <is>
          <t>2-1-21</t>
        </is>
      </c>
      <c r="F6" s="31">
        <f>IFERROR(VLOOKUP(E6,生徒データ!$A$3:$E$146,5,FALSE),"")</f>
        <v/>
      </c>
    </row>
    <row r="7" ht="18" customHeight="1">
      <c r="E7" s="32" t="inlineStr">
        <is>
          <t>2-2-4</t>
        </is>
      </c>
      <c r="F7" s="33">
        <f>IFERROR(VLOOKUP(E7,生徒データ!$A$3:$E$146,5,FALSE),"")</f>
        <v/>
      </c>
    </row>
    <row r="8" ht="18" customHeight="1">
      <c r="A8" s="40" t="n">
        <v>2</v>
      </c>
      <c r="B8" s="28" t="inlineStr">
        <is>
          <t>江南市立藤里保育園</t>
        </is>
      </c>
      <c r="C8" s="14" t="inlineStr">
        <is>
          <t>江南市藤が丘7丁目1-16</t>
        </is>
      </c>
      <c r="D8" s="29" t="inlineStr">
        <is>
          <t>約2.2km</t>
        </is>
      </c>
      <c r="E8" s="30" t="inlineStr">
        <is>
          <t>2-2-20</t>
        </is>
      </c>
      <c r="F8" s="31">
        <f>IFERROR(VLOOKUP(E8,生徒データ!$A$3:$E$146,5,FALSE),"")</f>
        <v/>
      </c>
    </row>
    <row r="9" ht="16" customHeight="1">
      <c r="A9" s="34" t="inlineStr">
        <is>
          <t>合計　2社 / 3名 / 約8.6km</t>
        </is>
      </c>
    </row>
    <row r="11">
      <c r="A11" s="35" t="inlineStr">
        <is>
          <t>備考・メモ</t>
        </is>
      </c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</sheetData>
  <mergeCells count="18">
    <mergeCell ref="A2:F2"/>
    <mergeCell ref="A8"/>
    <mergeCell ref="B8"/>
    <mergeCell ref="C8"/>
    <mergeCell ref="A11:F11"/>
    <mergeCell ref="A13:F13"/>
    <mergeCell ref="A14:F14"/>
    <mergeCell ref="A1:F1"/>
    <mergeCell ref="B3:F3"/>
    <mergeCell ref="D8"/>
    <mergeCell ref="A9:F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7/29(水)</t>
        </is>
      </c>
    </row>
    <row r="2" ht="20" customHeight="1">
      <c r="A2" s="41" t="inlineStr">
        <is>
          <t>教員 4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'全日程一覧'!C13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2" t="n">
        <v>1</v>
      </c>
      <c r="B6" s="28" t="inlineStr">
        <is>
          <t>株式会社青山製作所　大口工場</t>
        </is>
      </c>
      <c r="C6" s="14" t="inlineStr">
        <is>
          <t>愛知県丹羽郡大口町高橋一丁目8番地</t>
        </is>
      </c>
      <c r="D6" s="29" t="inlineStr">
        <is>
          <t>約1.1km</t>
        </is>
      </c>
      <c r="E6" s="30" t="inlineStr">
        <is>
          <t>2-2-14</t>
        </is>
      </c>
      <c r="F6" s="31">
        <f>IFERROR(VLOOKUP(E6,生徒データ!$A$3:$E$146,5,FALSE),"")</f>
        <v/>
      </c>
    </row>
    <row r="7" ht="18" customHeight="1">
      <c r="E7" s="32" t="inlineStr">
        <is>
          <t>2-4-21</t>
        </is>
      </c>
      <c r="F7" s="33">
        <f>IFERROR(VLOOKUP(E7,生徒データ!$A$3:$E$146,5,FALSE),"")</f>
        <v/>
      </c>
    </row>
    <row r="8" ht="18" customHeight="1">
      <c r="A8" s="42" t="n">
        <v>2</v>
      </c>
      <c r="B8" s="28" t="inlineStr">
        <is>
          <t>キムラユニティー株式会社　犬山工場</t>
        </is>
      </c>
      <c r="C8" s="14" t="inlineStr">
        <is>
          <t>愛知県犬山市字舟田10番地</t>
        </is>
      </c>
      <c r="D8" s="29" t="inlineStr">
        <is>
          <t>約4.4km</t>
        </is>
      </c>
      <c r="E8" s="30" t="inlineStr">
        <is>
          <t>2-1-1</t>
        </is>
      </c>
      <c r="F8" s="31">
        <f>IFERROR(VLOOKUP(E8,生徒データ!$A$3:$E$146,5,FALSE),"")</f>
        <v/>
      </c>
    </row>
    <row r="9" ht="18" customHeight="1">
      <c r="E9" s="32" t="inlineStr">
        <is>
          <t>2-1-19</t>
        </is>
      </c>
      <c r="F9" s="33">
        <f>IFERROR(VLOOKUP(E9,生徒データ!$A$3:$E$146,5,FALSE),"")</f>
        <v/>
      </c>
    </row>
    <row r="10" ht="18" customHeight="1">
      <c r="E10" s="30" t="inlineStr">
        <is>
          <t>2-4-14</t>
        </is>
      </c>
      <c r="F10" s="31">
        <f>IFERROR(VLOOKUP(E10,生徒データ!$A$3:$E$146,5,FALSE),"")</f>
        <v/>
      </c>
    </row>
    <row r="11" ht="16" customHeight="1">
      <c r="A11" s="34" t="inlineStr">
        <is>
          <t>合計　2社 / 5名 / 約10.3km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18">
    <mergeCell ref="A2:F2"/>
    <mergeCell ref="A11:F11"/>
    <mergeCell ref="A16:F16"/>
    <mergeCell ref="C8:C10"/>
    <mergeCell ref="A8:A10"/>
    <mergeCell ref="A13:F13"/>
    <mergeCell ref="A14:F14"/>
    <mergeCell ref="A1:F1"/>
    <mergeCell ref="B3:F3"/>
    <mergeCell ref="D8:D10"/>
    <mergeCell ref="B8:B10"/>
    <mergeCell ref="A4:F4"/>
    <mergeCell ref="A6:A7"/>
    <mergeCell ref="C6:C7"/>
    <mergeCell ref="D6:D7"/>
    <mergeCell ref="B6:B7"/>
    <mergeCell ref="A17:F17"/>
    <mergeCell ref="A15:F15"/>
  </mergeCells>
  <pageMargins left="0.5" right="0.5" top="0.7" bottom="0.7" header="0.5" footer="0.5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7/30(木)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'全日程一覧'!C14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江南市立藤里保育園</t>
        </is>
      </c>
      <c r="C6" s="14" t="inlineStr">
        <is>
          <t>江南市藤が丘7丁目1-16</t>
        </is>
      </c>
      <c r="D6" s="29" t="inlineStr">
        <is>
          <t>約3.6km</t>
        </is>
      </c>
      <c r="E6" s="30" t="inlineStr">
        <is>
          <t>2-4-7</t>
        </is>
      </c>
      <c r="F6" s="31">
        <f>IFERROR(VLOOKUP(E6,生徒データ!$A$3:$E$146,5,FALSE),"")</f>
        <v/>
      </c>
    </row>
    <row r="7" ht="16" customHeight="1">
      <c r="A7" s="34" t="inlineStr">
        <is>
          <t>合計　1社 / 1名 / 約7.2km</t>
        </is>
      </c>
    </row>
    <row r="9">
      <c r="A9" s="35" t="inlineStr">
        <is>
          <t>備考・メモ</t>
        </is>
      </c>
    </row>
    <row r="10" ht="18" customHeight="1">
      <c r="A10" s="36" t="inlineStr"/>
    </row>
    <row r="11" ht="18" customHeight="1">
      <c r="A11" s="36" t="inlineStr"/>
    </row>
    <row r="12" ht="18" customHeight="1">
      <c r="A12" s="36" t="inlineStr"/>
    </row>
    <row r="13" ht="18" customHeight="1">
      <c r="A13" s="36" t="inlineStr"/>
    </row>
  </sheetData>
  <mergeCells count="14">
    <mergeCell ref="A2:F2"/>
    <mergeCell ref="A11:F11"/>
    <mergeCell ref="A6"/>
    <mergeCell ref="A10:F10"/>
    <mergeCell ref="A13:F13"/>
    <mergeCell ref="A1:F1"/>
    <mergeCell ref="B3:F3"/>
    <mergeCell ref="D6"/>
    <mergeCell ref="B6"/>
    <mergeCell ref="A9:F9"/>
    <mergeCell ref="C6"/>
    <mergeCell ref="A12:F12"/>
    <mergeCell ref="A4:F4"/>
    <mergeCell ref="A7:F7"/>
  </mergeCells>
  <pageMargins left="0.5" right="0.5" top="0.7" bottom="0.7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7/30(木)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'全日程一覧'!C15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江南市立古知野中保育園</t>
        </is>
      </c>
      <c r="C6" s="14" t="inlineStr">
        <is>
          <t>江南市古知野町熱田203</t>
        </is>
      </c>
      <c r="D6" s="29" t="inlineStr">
        <is>
          <t>約2.0km</t>
        </is>
      </c>
      <c r="E6" s="30" t="inlineStr">
        <is>
          <t>1-5-18</t>
        </is>
      </c>
      <c r="F6" s="31">
        <f>IFERROR(VLOOKUP(E6,生徒データ!$A$3:$E$146,5,FALSE),"")</f>
        <v/>
      </c>
    </row>
    <row r="7" ht="18" customHeight="1">
      <c r="E7" s="32" t="inlineStr">
        <is>
          <t>1-5-39</t>
        </is>
      </c>
      <c r="F7" s="33">
        <f>IFERROR(VLOOKUP(E7,生徒データ!$A$3:$E$146,5,FALSE),"")</f>
        <v/>
      </c>
    </row>
    <row r="8" ht="18" customHeight="1">
      <c r="E8" s="30" t="inlineStr">
        <is>
          <t>2-4-3</t>
        </is>
      </c>
      <c r="F8" s="31">
        <f>IFERROR(VLOOKUP(E8,生徒データ!$A$3:$E$146,5,FALSE),"")</f>
        <v/>
      </c>
    </row>
    <row r="9" ht="18" customHeight="1">
      <c r="A9" s="38" t="n">
        <v>2</v>
      </c>
      <c r="B9" s="28" t="inlineStr">
        <is>
          <t>江南市立古知野西保育園</t>
        </is>
      </c>
      <c r="C9" s="14" t="inlineStr">
        <is>
          <t>江南市東野町郷前48</t>
        </is>
      </c>
      <c r="D9" s="29" t="inlineStr">
        <is>
          <t>約1.9km</t>
        </is>
      </c>
      <c r="E9" s="30" t="inlineStr">
        <is>
          <t>1-5-2</t>
        </is>
      </c>
      <c r="F9" s="31">
        <f>IFERROR(VLOOKUP(E9,生徒データ!$A$3:$E$146,5,FALSE),"")</f>
        <v/>
      </c>
    </row>
    <row r="10" ht="18" customHeight="1">
      <c r="E10" s="32" t="inlineStr">
        <is>
          <t>1-5-32</t>
        </is>
      </c>
      <c r="F10" s="33">
        <f>IFERROR(VLOOKUP(E10,生徒データ!$A$3:$E$146,5,FALSE),"")</f>
        <v/>
      </c>
    </row>
    <row r="11" ht="18" customHeight="1">
      <c r="A11" s="38" t="n">
        <v>3</v>
      </c>
      <c r="B11" s="28" t="inlineStr">
        <is>
          <t>ガレ・ドゥ・ワタナベ</t>
        </is>
      </c>
      <c r="C11" s="14" t="inlineStr">
        <is>
          <t>江南市小折町八反畑8</t>
        </is>
      </c>
      <c r="D11" s="29" t="inlineStr">
        <is>
          <t>約3.3km</t>
        </is>
      </c>
      <c r="E11" s="30" t="inlineStr">
        <is>
          <t>1-5-33</t>
        </is>
      </c>
      <c r="F11" s="31">
        <f>IFERROR(VLOOKUP(E11,生徒データ!$A$3:$E$146,5,FALSE),"")</f>
        <v/>
      </c>
    </row>
    <row r="12" ht="18" customHeight="1">
      <c r="E12" s="32" t="inlineStr">
        <is>
          <t>1-5-38</t>
        </is>
      </c>
      <c r="F12" s="33">
        <f>IFERROR(VLOOKUP(E12,生徒データ!$A$3:$E$146,5,FALSE),"")</f>
        <v/>
      </c>
    </row>
    <row r="13" ht="16" customHeight="1">
      <c r="A13" s="34" t="inlineStr">
        <is>
          <t>合計　3社 / 7名 / 約9.7km</t>
        </is>
      </c>
    </row>
    <row r="15">
      <c r="A15" s="35" t="inlineStr">
        <is>
          <t>備考・メモ</t>
        </is>
      </c>
    </row>
    <row r="16" ht="18" customHeight="1">
      <c r="A16" s="36" t="inlineStr"/>
    </row>
    <row r="17" ht="18" customHeight="1">
      <c r="A17" s="36" t="inlineStr"/>
    </row>
    <row r="18" ht="18" customHeight="1">
      <c r="A18" s="36" t="inlineStr"/>
    </row>
    <row r="19" ht="18" customHeight="1">
      <c r="A19" s="36" t="inlineStr"/>
    </row>
  </sheetData>
  <mergeCells count="22">
    <mergeCell ref="A16:F16"/>
    <mergeCell ref="B3:F3"/>
    <mergeCell ref="B11:B12"/>
    <mergeCell ref="D11:D12"/>
    <mergeCell ref="A18:F18"/>
    <mergeCell ref="A2:F2"/>
    <mergeCell ref="C9:C10"/>
    <mergeCell ref="A17:F17"/>
    <mergeCell ref="C11:C12"/>
    <mergeCell ref="A4:F4"/>
    <mergeCell ref="C6:C8"/>
    <mergeCell ref="D6:D8"/>
    <mergeCell ref="B9:B10"/>
    <mergeCell ref="D9:D10"/>
    <mergeCell ref="A13:F13"/>
    <mergeCell ref="A19:F19"/>
    <mergeCell ref="B6:B8"/>
    <mergeCell ref="A6:A8"/>
    <mergeCell ref="A15:F15"/>
    <mergeCell ref="A9:A10"/>
    <mergeCell ref="A1:F1"/>
    <mergeCell ref="A11:A12"/>
  </mergeCells>
  <pageMargins left="0.5" right="0.5" top="0.7" bottom="0.7" header="0.5" footer="0.5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7/30(木)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'全日程一覧'!C16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江南市立古知野東保育園</t>
        </is>
      </c>
      <c r="C6" s="14" t="inlineStr">
        <is>
          <t>江南市高屋町大師７２番地</t>
        </is>
      </c>
      <c r="D6" s="29" t="inlineStr">
        <is>
          <t>約1.6km</t>
        </is>
      </c>
      <c r="E6" s="30" t="inlineStr">
        <is>
          <t>1-5-3</t>
        </is>
      </c>
      <c r="F6" s="31">
        <f>IFERROR(VLOOKUP(E6,生徒データ!$A$3:$E$146,5,FALSE),"")</f>
        <v/>
      </c>
    </row>
    <row r="7" ht="18" customHeight="1">
      <c r="E7" s="32" t="inlineStr">
        <is>
          <t>1-5-31</t>
        </is>
      </c>
      <c r="F7" s="33">
        <f>IFERROR(VLOOKUP(E7,生徒データ!$A$3:$E$146,5,FALSE),"")</f>
        <v/>
      </c>
    </row>
    <row r="8" ht="18" customHeight="1">
      <c r="A8" s="40" t="n">
        <v>2</v>
      </c>
      <c r="B8" s="28" t="inlineStr">
        <is>
          <t>江南市立小鹿保育園</t>
        </is>
      </c>
      <c r="C8" s="14" t="inlineStr">
        <is>
          <t>江南市小杁町長者毛東1</t>
        </is>
      </c>
      <c r="D8" s="29" t="inlineStr">
        <is>
          <t>約2.1km</t>
        </is>
      </c>
      <c r="E8" s="30" t="inlineStr">
        <is>
          <t>1-5-36</t>
        </is>
      </c>
      <c r="F8" s="31">
        <f>IFERROR(VLOOKUP(E8,生徒データ!$A$3:$E$146,5,FALSE),"")</f>
        <v/>
      </c>
    </row>
    <row r="9" ht="18" customHeight="1">
      <c r="E9" s="32" t="inlineStr">
        <is>
          <t>2-2-8</t>
        </is>
      </c>
      <c r="F9" s="33">
        <f>IFERROR(VLOOKUP(E9,生徒データ!$A$3:$E$146,5,FALSE),"")</f>
        <v/>
      </c>
    </row>
    <row r="10" ht="18" customHeight="1">
      <c r="A10" s="40" t="n">
        <v>3</v>
      </c>
      <c r="B10" s="28" t="inlineStr">
        <is>
          <t>リスパック株式会社 真空成形工場</t>
        </is>
      </c>
      <c r="C10" s="14" t="inlineStr">
        <is>
          <t>愛知県犬山市羽黒宮浦1番地</t>
        </is>
      </c>
      <c r="D10" s="29" t="inlineStr">
        <is>
          <t>約6.3km</t>
        </is>
      </c>
      <c r="E10" s="30" t="inlineStr">
        <is>
          <t>1-5-6</t>
        </is>
      </c>
      <c r="F10" s="31">
        <f>IFERROR(VLOOKUP(E10,生徒データ!$A$3:$E$146,5,FALSE),"")</f>
        <v/>
      </c>
    </row>
    <row r="11" ht="18" customHeight="1">
      <c r="E11" s="32" t="inlineStr">
        <is>
          <t>2-1-27</t>
        </is>
      </c>
      <c r="F11" s="33">
        <f>IFERROR(VLOOKUP(E11,生徒データ!$A$3:$E$146,5,FALSE),"")</f>
        <v/>
      </c>
    </row>
    <row r="12" ht="18" customHeight="1">
      <c r="E12" s="30" t="inlineStr">
        <is>
          <t>2-1-28</t>
        </is>
      </c>
      <c r="F12" s="31">
        <f>IFERROR(VLOOKUP(E12,生徒データ!$A$3:$E$146,5,FALSE),"")</f>
        <v/>
      </c>
    </row>
    <row r="13" ht="18" customHeight="1">
      <c r="E13" s="32" t="inlineStr">
        <is>
          <t>2-3-11</t>
        </is>
      </c>
      <c r="F13" s="33">
        <f>IFERROR(VLOOKUP(E13,生徒データ!$A$3:$E$146,5,FALSE),"")</f>
        <v/>
      </c>
    </row>
    <row r="14" ht="18" customHeight="1">
      <c r="E14" s="30" t="inlineStr">
        <is>
          <t>2-3-17</t>
        </is>
      </c>
      <c r="F14" s="31">
        <f>IFERROR(VLOOKUP(E14,生徒データ!$A$3:$E$146,5,FALSE),"")</f>
        <v/>
      </c>
    </row>
    <row r="15" ht="16" customHeight="1">
      <c r="A15" s="34" t="inlineStr">
        <is>
          <t>合計　3社 / 9名 / 約14.9km</t>
        </is>
      </c>
    </row>
    <row r="17">
      <c r="A17" s="35" t="inlineStr">
        <is>
          <t>備考・メモ</t>
        </is>
      </c>
    </row>
    <row r="18" ht="18" customHeight="1">
      <c r="A18" s="36" t="inlineStr"/>
    </row>
    <row r="19" ht="18" customHeight="1">
      <c r="A19" s="36" t="inlineStr"/>
    </row>
    <row r="20" ht="18" customHeight="1">
      <c r="A20" s="36" t="inlineStr"/>
    </row>
    <row r="21" ht="18" customHeight="1">
      <c r="A21" s="36" t="inlineStr"/>
    </row>
  </sheetData>
  <mergeCells count="22">
    <mergeCell ref="B10:B14"/>
    <mergeCell ref="B3:F3"/>
    <mergeCell ref="B8:B9"/>
    <mergeCell ref="A18:F18"/>
    <mergeCell ref="A6:A7"/>
    <mergeCell ref="A21:F21"/>
    <mergeCell ref="A2:F2"/>
    <mergeCell ref="A10:A14"/>
    <mergeCell ref="A17:F17"/>
    <mergeCell ref="A4:F4"/>
    <mergeCell ref="A20:F20"/>
    <mergeCell ref="B6:B7"/>
    <mergeCell ref="D10:D14"/>
    <mergeCell ref="A8:A9"/>
    <mergeCell ref="C8:C9"/>
    <mergeCell ref="A19:F19"/>
    <mergeCell ref="D8:D9"/>
    <mergeCell ref="A15:F15"/>
    <mergeCell ref="A1:F1"/>
    <mergeCell ref="C10:C14"/>
    <mergeCell ref="C6:C7"/>
    <mergeCell ref="D6:D7"/>
  </mergeCells>
  <pageMargins left="0.5" right="0.5" top="0.7" bottom="0.7" header="0.5" footer="0.5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7/30(木)</t>
        </is>
      </c>
    </row>
    <row r="2" ht="20" customHeight="1">
      <c r="A2" s="41" t="inlineStr">
        <is>
          <t>教員 4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'全日程一覧'!C17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2" t="n">
        <v>1</v>
      </c>
      <c r="B6" s="28" t="inlineStr">
        <is>
          <t>ＮＸキャッシュ・ロジスティクス株式会社　中部支店</t>
        </is>
      </c>
      <c r="C6" s="14" t="inlineStr">
        <is>
          <t>愛知県名古屋市中村区並木1-81-1</t>
        </is>
      </c>
      <c r="D6" s="29" t="inlineStr">
        <is>
          <t>約20.3km</t>
        </is>
      </c>
      <c r="E6" s="30" t="inlineStr">
        <is>
          <t>2-2-9</t>
        </is>
      </c>
      <c r="F6" s="31">
        <f>IFERROR(VLOOKUP(E6,生徒データ!$A$3:$E$146,5,FALSE),"")</f>
        <v/>
      </c>
    </row>
    <row r="7" ht="18" customHeight="1">
      <c r="E7" s="32" t="inlineStr">
        <is>
          <t>2-2-11</t>
        </is>
      </c>
      <c r="F7" s="33">
        <f>IFERROR(VLOOKUP(E7,生徒データ!$A$3:$E$146,5,FALSE),"")</f>
        <v/>
      </c>
    </row>
    <row r="8" ht="18" customHeight="1">
      <c r="E8" s="30" t="inlineStr">
        <is>
          <t>2-2-15</t>
        </is>
      </c>
      <c r="F8" s="31">
        <f>IFERROR(VLOOKUP(E8,生徒データ!$A$3:$E$146,5,FALSE),"")</f>
        <v/>
      </c>
    </row>
    <row r="9" ht="18" customHeight="1">
      <c r="E9" s="32" t="inlineStr">
        <is>
          <t>2-4-12</t>
        </is>
      </c>
      <c r="F9" s="33">
        <f>IFERROR(VLOOKUP(E9,生徒データ!$A$3:$E$146,5,FALSE),"")</f>
        <v/>
      </c>
    </row>
    <row r="10" ht="16" customHeight="1">
      <c r="A10" s="34" t="inlineStr">
        <is>
          <t>合計　1社 / 4名 / 約40.6km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14">
    <mergeCell ref="A2:F2"/>
    <mergeCell ref="A16:F16"/>
    <mergeCell ref="A10:F10"/>
    <mergeCell ref="A13:F13"/>
    <mergeCell ref="A14:F14"/>
    <mergeCell ref="A1:F1"/>
    <mergeCell ref="A6:A9"/>
    <mergeCell ref="B3:F3"/>
    <mergeCell ref="D6:D9"/>
    <mergeCell ref="B6:B9"/>
    <mergeCell ref="A12:F12"/>
    <mergeCell ref="A4:F4"/>
    <mergeCell ref="C6:C9"/>
    <mergeCell ref="A15:F15"/>
  </mergeCells>
  <pageMargins left="0.5" right="0.5" top="0.7" bottom="0.7" header="0.5" footer="0.5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7/31(金)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'全日程一覧'!C18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江南市立布袋北保育園</t>
        </is>
      </c>
      <c r="C6" s="14" t="inlineStr">
        <is>
          <t>江南市安良町八王子137</t>
        </is>
      </c>
      <c r="D6" s="29" t="inlineStr">
        <is>
          <t>約1.3km</t>
        </is>
      </c>
      <c r="E6" s="30" t="inlineStr">
        <is>
          <t>1-5-28</t>
        </is>
      </c>
      <c r="F6" s="31">
        <f>IFERROR(VLOOKUP(E6,生徒データ!$A$3:$E$146,5,FALSE),"")</f>
        <v/>
      </c>
    </row>
    <row r="7" ht="18" customHeight="1">
      <c r="A7" s="27" t="n">
        <v>2</v>
      </c>
      <c r="B7" s="28" t="inlineStr">
        <is>
          <t>江南市立古知野南保育園</t>
        </is>
      </c>
      <c r="C7" s="14" t="inlineStr">
        <is>
          <t>江南市古知野町塔塚160</t>
        </is>
      </c>
      <c r="D7" s="29" t="inlineStr">
        <is>
          <t>約1.8km</t>
        </is>
      </c>
      <c r="E7" s="30" t="inlineStr">
        <is>
          <t>1-5-23</t>
        </is>
      </c>
      <c r="F7" s="31">
        <f>IFERROR(VLOOKUP(E7,生徒データ!$A$3:$E$146,5,FALSE),"")</f>
        <v/>
      </c>
    </row>
    <row r="8" ht="18" customHeight="1">
      <c r="E8" s="32" t="inlineStr">
        <is>
          <t>2-1-17</t>
        </is>
      </c>
      <c r="F8" s="33">
        <f>IFERROR(VLOOKUP(E8,生徒データ!$A$3:$E$146,5,FALSE),"")</f>
        <v/>
      </c>
    </row>
    <row r="9" ht="18" customHeight="1">
      <c r="A9" s="27" t="n">
        <v>3</v>
      </c>
      <c r="B9" s="28" t="inlineStr">
        <is>
          <t>江南市立宮田東保育園</t>
        </is>
      </c>
      <c r="C9" s="14" t="inlineStr">
        <is>
          <t>江南市宮田神明町栄174</t>
        </is>
      </c>
      <c r="D9" s="29" t="inlineStr">
        <is>
          <t>約2.8km</t>
        </is>
      </c>
      <c r="E9" s="30" t="inlineStr">
        <is>
          <t>1-5-1</t>
        </is>
      </c>
      <c r="F9" s="31">
        <f>IFERROR(VLOOKUP(E9,生徒データ!$A$3:$E$146,5,FALSE),"")</f>
        <v/>
      </c>
    </row>
    <row r="10" ht="18" customHeight="1">
      <c r="E10" s="32" t="inlineStr">
        <is>
          <t>1-5-25</t>
        </is>
      </c>
      <c r="F10" s="33">
        <f>IFERROR(VLOOKUP(E10,生徒データ!$A$3:$E$146,5,FALSE),"")</f>
        <v/>
      </c>
    </row>
    <row r="11" ht="18" customHeight="1">
      <c r="A11" s="27" t="n">
        <v>4</v>
      </c>
      <c r="B11" s="28" t="inlineStr">
        <is>
          <t>九品寺幼稚園</t>
        </is>
      </c>
      <c r="C11" s="14" t="inlineStr">
        <is>
          <t>一宮市真清田2-14-7</t>
        </is>
      </c>
      <c r="D11" s="29" t="inlineStr">
        <is>
          <t>約7.4km</t>
        </is>
      </c>
      <c r="E11" s="30" t="inlineStr">
        <is>
          <t>1-5-5</t>
        </is>
      </c>
      <c r="F11" s="31">
        <f>IFERROR(VLOOKUP(E11,生徒データ!$A$3:$E$146,5,FALSE),"")</f>
        <v/>
      </c>
    </row>
    <row r="12" ht="16" customHeight="1">
      <c r="A12" s="34" t="inlineStr">
        <is>
          <t>合計　4社 / 6名 / 約21.7km</t>
        </is>
      </c>
    </row>
    <row r="14">
      <c r="A14" s="35" t="inlineStr">
        <is>
          <t>備考・メモ</t>
        </is>
      </c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  <row r="18" ht="18" customHeight="1">
      <c r="A18" s="36" t="inlineStr"/>
    </row>
  </sheetData>
  <mergeCells count="26">
    <mergeCell ref="A16:F16"/>
    <mergeCell ref="B3:F3"/>
    <mergeCell ref="B6"/>
    <mergeCell ref="A7:A8"/>
    <mergeCell ref="A12:F12"/>
    <mergeCell ref="A18:F18"/>
    <mergeCell ref="A2:F2"/>
    <mergeCell ref="C9:C10"/>
    <mergeCell ref="A14:F14"/>
    <mergeCell ref="D7:D8"/>
    <mergeCell ref="C6"/>
    <mergeCell ref="A17:F17"/>
    <mergeCell ref="A4:F4"/>
    <mergeCell ref="A11"/>
    <mergeCell ref="B9:B10"/>
    <mergeCell ref="A6"/>
    <mergeCell ref="D9:D10"/>
    <mergeCell ref="D6"/>
    <mergeCell ref="C7:C8"/>
    <mergeCell ref="B11"/>
    <mergeCell ref="D11"/>
    <mergeCell ref="A15:F15"/>
    <mergeCell ref="A9:A10"/>
    <mergeCell ref="A1:F1"/>
    <mergeCell ref="B7:B8"/>
    <mergeCell ref="C11"/>
  </mergeCells>
  <pageMargins left="0.5" right="0.5" top="0.7" bottom="0.7" header="0.5" footer="0.5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7/31(金)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'全日程一覧'!C19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東罐興業株式会社　小牧工場</t>
        </is>
      </c>
      <c r="C6" s="14" t="inlineStr">
        <is>
          <t>愛知県小牧市東田中2118</t>
        </is>
      </c>
      <c r="D6" s="29" t="inlineStr">
        <is>
          <t>約6.4km</t>
        </is>
      </c>
      <c r="E6" s="30" t="inlineStr">
        <is>
          <t>1-5-34</t>
        </is>
      </c>
      <c r="F6" s="31">
        <f>IFERROR(VLOOKUP(E6,生徒データ!$A$3:$E$146,5,FALSE),"")</f>
        <v/>
      </c>
    </row>
    <row r="7" ht="18" customHeight="1">
      <c r="A7" s="38" t="n">
        <v>2</v>
      </c>
      <c r="B7" s="28" t="inlineStr">
        <is>
          <t>東名化学工業株式会社　小牧工場</t>
        </is>
      </c>
      <c r="C7" s="14" t="inlineStr">
        <is>
          <t>小牧市大草檀之上5410</t>
        </is>
      </c>
      <c r="D7" s="29" t="inlineStr">
        <is>
          <t>約5.1km</t>
        </is>
      </c>
      <c r="E7" s="30" t="inlineStr">
        <is>
          <t>2-3-8</t>
        </is>
      </c>
      <c r="F7" s="31">
        <f>IFERROR(VLOOKUP(E7,生徒データ!$A$3:$E$146,5,FALSE),"")</f>
        <v/>
      </c>
    </row>
    <row r="8" ht="18" customHeight="1">
      <c r="E8" s="32" t="inlineStr">
        <is>
          <t>2-3-13</t>
        </is>
      </c>
      <c r="F8" s="33">
        <f>IFERROR(VLOOKUP(E8,生徒データ!$A$3:$E$146,5,FALSE),"")</f>
        <v/>
      </c>
    </row>
    <row r="9" ht="16" customHeight="1">
      <c r="A9" s="34" t="inlineStr">
        <is>
          <t>合計　2社 / 3名 / 約22.3km</t>
        </is>
      </c>
    </row>
    <row r="11">
      <c r="A11" s="35" t="inlineStr">
        <is>
          <t>備考・メモ</t>
        </is>
      </c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</sheetData>
  <mergeCells count="18">
    <mergeCell ref="A2:F2"/>
    <mergeCell ref="A11:F11"/>
    <mergeCell ref="A6"/>
    <mergeCell ref="A13:F13"/>
    <mergeCell ref="A14:F14"/>
    <mergeCell ref="A1:F1"/>
    <mergeCell ref="B3:F3"/>
    <mergeCell ref="D6"/>
    <mergeCell ref="B6"/>
    <mergeCell ref="A7:A8"/>
    <mergeCell ref="B7:B8"/>
    <mergeCell ref="C6"/>
    <mergeCell ref="C7:C8"/>
    <mergeCell ref="D7:D8"/>
    <mergeCell ref="A4:F4"/>
    <mergeCell ref="A9:F9"/>
    <mergeCell ref="A12:F12"/>
    <mergeCell ref="A15:F15"/>
  </mergeCells>
  <pageMargins left="0.5" right="0.5" top="0.7" bottom="0.7" header="0.5" footer="0.5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7/31(金)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'全日程一覧'!C20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グンゼ江南工場</t>
        </is>
      </c>
      <c r="C6" s="14" t="inlineStr">
        <is>
          <t>愛知県江南市村久野町鳥附１番地</t>
        </is>
      </c>
      <c r="D6" s="29" t="inlineStr">
        <is>
          <t>約2.8km</t>
        </is>
      </c>
      <c r="E6" s="30" t="inlineStr">
        <is>
          <t>1-5-24</t>
        </is>
      </c>
      <c r="F6" s="31">
        <f>IFERROR(VLOOKUP(E6,生徒データ!$A$3:$E$146,5,FALSE),"")</f>
        <v/>
      </c>
    </row>
    <row r="7" ht="18" customHeight="1">
      <c r="E7" s="32" t="inlineStr">
        <is>
          <t>2-1-29</t>
        </is>
      </c>
      <c r="F7" s="33">
        <f>IFERROR(VLOOKUP(E7,生徒データ!$A$3:$E$146,5,FALSE),"")</f>
        <v/>
      </c>
    </row>
    <row r="8" ht="18" customHeight="1">
      <c r="E8" s="30" t="inlineStr">
        <is>
          <t>2-1-32</t>
        </is>
      </c>
      <c r="F8" s="31">
        <f>IFERROR(VLOOKUP(E8,生徒データ!$A$3:$E$146,5,FALSE),"")</f>
        <v/>
      </c>
    </row>
    <row r="9" ht="18" customHeight="1">
      <c r="E9" s="32" t="inlineStr">
        <is>
          <t>2-3-12</t>
        </is>
      </c>
      <c r="F9" s="33">
        <f>IFERROR(VLOOKUP(E9,生徒データ!$A$3:$E$146,5,FALSE),"")</f>
        <v/>
      </c>
    </row>
    <row r="10" ht="18" customHeight="1">
      <c r="E10" s="30" t="inlineStr">
        <is>
          <t>2-3-15</t>
        </is>
      </c>
      <c r="F10" s="31">
        <f>IFERROR(VLOOKUP(E10,生徒データ!$A$3:$E$146,5,FALSE),"")</f>
        <v/>
      </c>
    </row>
    <row r="11" ht="16" customHeight="1">
      <c r="A11" s="34" t="inlineStr">
        <is>
          <t>合計　1社 / 5名 / 約5.7km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14">
    <mergeCell ref="A2:F2"/>
    <mergeCell ref="A11:F11"/>
    <mergeCell ref="A16:F16"/>
    <mergeCell ref="A13:F13"/>
    <mergeCell ref="A14:F14"/>
    <mergeCell ref="A1:F1"/>
    <mergeCell ref="B3:F3"/>
    <mergeCell ref="D6:D10"/>
    <mergeCell ref="B6:B10"/>
    <mergeCell ref="A17:F17"/>
    <mergeCell ref="A4:F4"/>
    <mergeCell ref="C6:C10"/>
    <mergeCell ref="A15:F15"/>
    <mergeCell ref="A6:A10"/>
  </mergeCells>
  <pageMargins left="0.5" right="0.5" top="0.7" bottom="0.7" header="0.5" footer="0.5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7/31(金)</t>
        </is>
      </c>
    </row>
    <row r="2" ht="20" customHeight="1">
      <c r="A2" s="41" t="inlineStr">
        <is>
          <t>教員 4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'全日程一覧'!C21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2" t="n">
        <v>1</v>
      </c>
      <c r="B6" s="28" t="inlineStr">
        <is>
          <t>福玉ロジスティクス株式会社　大口センター</t>
        </is>
      </c>
      <c r="C6" s="14" t="inlineStr">
        <is>
          <t>集合場所：丹羽郡大口町御供所1-65　就業体験場所：丹羽郡大口町御供所3丁目122番地</t>
        </is>
      </c>
      <c r="D6" s="29" t="inlineStr">
        <is>
          <t>約2.1km</t>
        </is>
      </c>
      <c r="E6" s="30" t="inlineStr">
        <is>
          <t>2-4-18</t>
        </is>
      </c>
      <c r="F6" s="31">
        <f>IFERROR(VLOOKUP(E6,生徒データ!$A$3:$E$146,5,FALSE),"")</f>
        <v/>
      </c>
    </row>
    <row r="7" ht="18" customHeight="1">
      <c r="E7" s="32" t="inlineStr">
        <is>
          <t>2-4-25</t>
        </is>
      </c>
      <c r="F7" s="33">
        <f>IFERROR(VLOOKUP(E7,生徒データ!$A$3:$E$146,5,FALSE),"")</f>
        <v/>
      </c>
    </row>
    <row r="8" ht="18" customHeight="1">
      <c r="A8" s="42" t="n">
        <v>2</v>
      </c>
      <c r="B8" s="28" t="inlineStr">
        <is>
          <t>株式会社メイコン　本社</t>
        </is>
      </c>
      <c r="C8" s="14" t="inlineStr">
        <is>
          <t>本社（愛知県小牧市大字三ツ渕950番地）</t>
        </is>
      </c>
      <c r="D8" s="29" t="inlineStr">
        <is>
          <t>約2.5km</t>
        </is>
      </c>
      <c r="E8" s="30" t="inlineStr">
        <is>
          <t>2-1-14</t>
        </is>
      </c>
      <c r="F8" s="31">
        <f>IFERROR(VLOOKUP(E8,生徒データ!$A$3:$E$146,5,FALSE),"")</f>
        <v/>
      </c>
    </row>
    <row r="9" ht="18" customHeight="1">
      <c r="E9" s="32" t="inlineStr">
        <is>
          <t>2-2-6</t>
        </is>
      </c>
      <c r="F9" s="33">
        <f>IFERROR(VLOOKUP(E9,生徒データ!$A$3:$E$146,5,FALSE),"")</f>
        <v/>
      </c>
    </row>
    <row r="10" ht="18" customHeight="1">
      <c r="E10" s="30" t="inlineStr">
        <is>
          <t>2-4-24</t>
        </is>
      </c>
      <c r="F10" s="31">
        <f>IFERROR(VLOOKUP(E10,生徒データ!$A$3:$E$146,5,FALSE),"")</f>
        <v/>
      </c>
    </row>
    <row r="11" ht="16" customHeight="1">
      <c r="A11" s="34" t="inlineStr">
        <is>
          <t>合計　2社 / 5名 / 約9.2km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18">
    <mergeCell ref="A2:F2"/>
    <mergeCell ref="A11:F11"/>
    <mergeCell ref="A16:F16"/>
    <mergeCell ref="C8:C10"/>
    <mergeCell ref="A8:A10"/>
    <mergeCell ref="A13:F13"/>
    <mergeCell ref="A14:F14"/>
    <mergeCell ref="A1:F1"/>
    <mergeCell ref="B3:F3"/>
    <mergeCell ref="D8:D10"/>
    <mergeCell ref="B8:B10"/>
    <mergeCell ref="A4:F4"/>
    <mergeCell ref="A6:A7"/>
    <mergeCell ref="C6:C7"/>
    <mergeCell ref="D6:D7"/>
    <mergeCell ref="B6:B7"/>
    <mergeCell ref="A17:F17"/>
    <mergeCell ref="A15:F15"/>
  </mergeCells>
  <pageMargins left="0.5" right="0.5" top="0.7" bottom="0.7" header="0.5" footer="0.5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8/24(月)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'全日程一覧'!C22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美容室ISA</t>
        </is>
      </c>
      <c r="C6" s="14" t="inlineStr">
        <is>
          <t>丹羽郡大口町丸2-36 メガドンキユニー大口店　1F</t>
        </is>
      </c>
      <c r="D6" s="29" t="inlineStr">
        <is>
          <t>約1.4km</t>
        </is>
      </c>
      <c r="E6" s="30" t="inlineStr">
        <is>
          <t>2-1-33</t>
        </is>
      </c>
      <c r="F6" s="31">
        <f>IFERROR(VLOOKUP(E6,生徒データ!$A$3:$E$146,5,FALSE),"")</f>
        <v/>
      </c>
    </row>
    <row r="7" ht="18" customHeight="1">
      <c r="E7" s="32" t="inlineStr">
        <is>
          <t>2-3-18</t>
        </is>
      </c>
      <c r="F7" s="33">
        <f>IFERROR(VLOOKUP(E7,生徒データ!$A$3:$E$146,5,FALSE),"")</f>
        <v/>
      </c>
    </row>
    <row r="8" ht="18" customHeight="1">
      <c r="A8" s="27" t="n">
        <v>2</v>
      </c>
      <c r="B8" s="28" t="inlineStr">
        <is>
          <t>江南市立古知野東保育園</t>
        </is>
      </c>
      <c r="C8" s="14" t="inlineStr">
        <is>
          <t>江南市高屋町大師７２番地</t>
        </is>
      </c>
      <c r="D8" s="29" t="inlineStr">
        <is>
          <t>約2.8km</t>
        </is>
      </c>
      <c r="E8" s="30" t="inlineStr">
        <is>
          <t>2-4-5</t>
        </is>
      </c>
      <c r="F8" s="31">
        <f>IFERROR(VLOOKUP(E8,生徒データ!$A$3:$E$146,5,FALSE),"")</f>
        <v/>
      </c>
    </row>
    <row r="9" ht="18" customHeight="1">
      <c r="E9" s="32" t="inlineStr">
        <is>
          <t>2-4-22</t>
        </is>
      </c>
      <c r="F9" s="33">
        <f>IFERROR(VLOOKUP(E9,生徒データ!$A$3:$E$146,5,FALSE),"")</f>
        <v/>
      </c>
    </row>
    <row r="10" ht="18" customHeight="1">
      <c r="E10" s="30" t="inlineStr">
        <is>
          <t>2-4-26</t>
        </is>
      </c>
      <c r="F10" s="31">
        <f>IFERROR(VLOOKUP(E10,生徒データ!$A$3:$E$146,5,FALSE),"")</f>
        <v/>
      </c>
    </row>
    <row r="11" ht="18" customHeight="1">
      <c r="A11" s="27" t="n">
        <v>3</v>
      </c>
      <c r="B11" s="28" t="inlineStr">
        <is>
          <t>江南市立小鹿保育園</t>
        </is>
      </c>
      <c r="C11" s="14" t="inlineStr">
        <is>
          <t>江南市小杁町長者毛東1</t>
        </is>
      </c>
      <c r="D11" s="29" t="inlineStr">
        <is>
          <t>約2.1km</t>
        </is>
      </c>
      <c r="E11" s="30" t="inlineStr">
        <is>
          <t>2-3-1</t>
        </is>
      </c>
      <c r="F11" s="31">
        <f>IFERROR(VLOOKUP(E11,生徒データ!$A$3:$E$146,5,FALSE),"")</f>
        <v/>
      </c>
    </row>
    <row r="12" ht="18" customHeight="1">
      <c r="E12" s="32" t="inlineStr">
        <is>
          <t>2-4-27</t>
        </is>
      </c>
      <c r="F12" s="33">
        <f>IFERROR(VLOOKUP(E12,生徒データ!$A$3:$E$146,5,FALSE),"")</f>
        <v/>
      </c>
    </row>
    <row r="13" ht="16" customHeight="1">
      <c r="A13" s="34" t="inlineStr">
        <is>
          <t>合計　3社 / 7名 / 約9.9km</t>
        </is>
      </c>
    </row>
    <row r="15">
      <c r="A15" s="35" t="inlineStr">
        <is>
          <t>備考・メモ</t>
        </is>
      </c>
    </row>
    <row r="16" ht="18" customHeight="1">
      <c r="A16" s="36" t="inlineStr"/>
    </row>
    <row r="17" ht="18" customHeight="1">
      <c r="A17" s="36" t="inlineStr"/>
    </row>
    <row r="18" ht="18" customHeight="1">
      <c r="A18" s="36" t="inlineStr"/>
    </row>
    <row r="19" ht="18" customHeight="1">
      <c r="A19" s="36" t="inlineStr"/>
    </row>
  </sheetData>
  <mergeCells count="22">
    <mergeCell ref="A16:F16"/>
    <mergeCell ref="A8:A10"/>
    <mergeCell ref="B3:F3"/>
    <mergeCell ref="B11:B12"/>
    <mergeCell ref="D8:D10"/>
    <mergeCell ref="D11:D12"/>
    <mergeCell ref="A18:F18"/>
    <mergeCell ref="A6:A7"/>
    <mergeCell ref="A2:F2"/>
    <mergeCell ref="A17:F17"/>
    <mergeCell ref="C11:C12"/>
    <mergeCell ref="A4:F4"/>
    <mergeCell ref="B6:B7"/>
    <mergeCell ref="A13:F13"/>
    <mergeCell ref="A19:F19"/>
    <mergeCell ref="B8:B10"/>
    <mergeCell ref="A15:F15"/>
    <mergeCell ref="A1:F1"/>
    <mergeCell ref="C6:C7"/>
    <mergeCell ref="C8:C10"/>
    <mergeCell ref="D6:D7"/>
    <mergeCell ref="A11:A12"/>
  </mergeCells>
  <pageMargins left="0.5" right="0.5" top="0.7" bottom="0.7" header="0.5" footer="0.5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8/24(月)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'全日程一覧'!C23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きもの館なかね</t>
        </is>
      </c>
      <c r="C6" s="14" t="inlineStr">
        <is>
          <t>愛知県江南市古知野町本郷３４</t>
        </is>
      </c>
      <c r="D6" s="29" t="inlineStr">
        <is>
          <t>約1.8km</t>
        </is>
      </c>
      <c r="E6" s="30" t="inlineStr">
        <is>
          <t>2-4-2</t>
        </is>
      </c>
      <c r="F6" s="31">
        <f>IFERROR(VLOOKUP(E6,生徒データ!$A$3:$E$146,5,FALSE),"")</f>
        <v/>
      </c>
    </row>
    <row r="7" ht="18" customHeight="1">
      <c r="E7" s="32" t="inlineStr">
        <is>
          <t>2-4-4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江南市立門弟山保育園</t>
        </is>
      </c>
      <c r="C8" s="14" t="inlineStr">
        <is>
          <t>江南市村久野町門弟山271</t>
        </is>
      </c>
      <c r="D8" s="29" t="inlineStr">
        <is>
          <t>約1.3km</t>
        </is>
      </c>
      <c r="E8" s="30" t="inlineStr">
        <is>
          <t>2-1-3</t>
        </is>
      </c>
      <c r="F8" s="31">
        <f>IFERROR(VLOOKUP(E8,生徒データ!$A$3:$E$146,5,FALSE),"")</f>
        <v/>
      </c>
    </row>
    <row r="9" ht="18" customHeight="1">
      <c r="E9" s="32" t="inlineStr">
        <is>
          <t>2-3-3</t>
        </is>
      </c>
      <c r="F9" s="33">
        <f>IFERROR(VLOOKUP(E9,生徒データ!$A$3:$E$146,5,FALSE),"")</f>
        <v/>
      </c>
    </row>
    <row r="10" ht="18" customHeight="1">
      <c r="A10" s="38" t="n">
        <v>3</v>
      </c>
      <c r="B10" s="28" t="inlineStr">
        <is>
          <t>江南市立古知野西保育園</t>
        </is>
      </c>
      <c r="C10" s="14" t="inlineStr">
        <is>
          <t>江南市東野町郷前48</t>
        </is>
      </c>
      <c r="D10" s="29" t="inlineStr">
        <is>
          <t>約1.9km</t>
        </is>
      </c>
      <c r="E10" s="30" t="inlineStr">
        <is>
          <t>2-4-8</t>
        </is>
      </c>
      <c r="F10" s="31">
        <f>IFERROR(VLOOKUP(E10,生徒データ!$A$3:$E$146,5,FALSE),"")</f>
        <v/>
      </c>
    </row>
    <row r="11" ht="16" customHeight="1">
      <c r="A11" s="34" t="inlineStr">
        <is>
          <t>合計　3社 / 5名 / 約8.5km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22">
    <mergeCell ref="A16:F16"/>
    <mergeCell ref="B3:F3"/>
    <mergeCell ref="B8:B9"/>
    <mergeCell ref="A10"/>
    <mergeCell ref="A6:A7"/>
    <mergeCell ref="A2:F2"/>
    <mergeCell ref="A14:F14"/>
    <mergeCell ref="D10"/>
    <mergeCell ref="A17:F17"/>
    <mergeCell ref="A4:F4"/>
    <mergeCell ref="B6:B7"/>
    <mergeCell ref="A8:A9"/>
    <mergeCell ref="C8:C9"/>
    <mergeCell ref="A13:F13"/>
    <mergeCell ref="D8:D9"/>
    <mergeCell ref="C10"/>
    <mergeCell ref="A15:F15"/>
    <mergeCell ref="A11:F11"/>
    <mergeCell ref="A1:F1"/>
    <mergeCell ref="B10"/>
    <mergeCell ref="C6:C7"/>
    <mergeCell ref="D6:D7"/>
  </mergeCells>
  <pageMargins left="0.5" right="0.5" top="0.7" bottom="0.7" header="0.5" footer="0.5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8/24(月)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'全日程一覧'!C24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福玉米粒麦株式会社</t>
        </is>
      </c>
      <c r="C6" s="14" t="inlineStr">
        <is>
          <t>愛知県江南市南山町西31</t>
        </is>
      </c>
      <c r="D6" s="29" t="inlineStr">
        <is>
          <t>約2.5km</t>
        </is>
      </c>
      <c r="E6" s="30" t="inlineStr">
        <is>
          <t>2-1-22</t>
        </is>
      </c>
      <c r="F6" s="31">
        <f>IFERROR(VLOOKUP(E6,生徒データ!$A$3:$E$146,5,FALSE),"")</f>
        <v/>
      </c>
    </row>
    <row r="7" ht="18" customHeight="1">
      <c r="E7" s="32" t="inlineStr">
        <is>
          <t>2-2-1</t>
        </is>
      </c>
      <c r="F7" s="33">
        <f>IFERROR(VLOOKUP(E7,生徒データ!$A$3:$E$146,5,FALSE),"")</f>
        <v/>
      </c>
    </row>
    <row r="8" ht="18" customHeight="1">
      <c r="A8" s="40" t="n">
        <v>2</v>
      </c>
      <c r="B8" s="28" t="inlineStr">
        <is>
          <t>江南市立布袋保育園</t>
        </is>
      </c>
      <c r="C8" s="14" t="inlineStr">
        <is>
          <t>江南市布袋下山町南70</t>
        </is>
      </c>
      <c r="D8" s="29" t="inlineStr">
        <is>
          <t>約0.4km</t>
        </is>
      </c>
      <c r="E8" s="30" t="inlineStr">
        <is>
          <t>2-2-12</t>
        </is>
      </c>
      <c r="F8" s="31">
        <f>IFERROR(VLOOKUP(E8,生徒データ!$A$3:$E$146,5,FALSE),"")</f>
        <v/>
      </c>
    </row>
    <row r="9" ht="16" customHeight="1">
      <c r="A9" s="34" t="inlineStr">
        <is>
          <t>合計　2社 / 3名 / 約5.7km</t>
        </is>
      </c>
    </row>
    <row r="11">
      <c r="A11" s="35" t="inlineStr">
        <is>
          <t>備考・メモ</t>
        </is>
      </c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</sheetData>
  <mergeCells count="18">
    <mergeCell ref="A2:F2"/>
    <mergeCell ref="A8"/>
    <mergeCell ref="B8"/>
    <mergeCell ref="C8"/>
    <mergeCell ref="A11:F11"/>
    <mergeCell ref="A13:F13"/>
    <mergeCell ref="A14:F14"/>
    <mergeCell ref="A1:F1"/>
    <mergeCell ref="B3:F3"/>
    <mergeCell ref="D8"/>
    <mergeCell ref="A9:F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8/25(火)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'全日程一覧'!C25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株式会社青山製作所　大口工場</t>
        </is>
      </c>
      <c r="C6" s="14" t="inlineStr">
        <is>
          <t>愛知県丹羽郡大口町高橋一丁目8番地</t>
        </is>
      </c>
      <c r="D6" s="29" t="inlineStr">
        <is>
          <t>約1.1km</t>
        </is>
      </c>
      <c r="E6" s="30" t="inlineStr">
        <is>
          <t>2-3-10</t>
        </is>
      </c>
      <c r="F6" s="31">
        <f>IFERROR(VLOOKUP(E6,生徒データ!$A$3:$E$146,5,FALSE),"")</f>
        <v/>
      </c>
    </row>
    <row r="7" ht="18" customHeight="1">
      <c r="E7" s="32" t="inlineStr">
        <is>
          <t>2-4-13</t>
        </is>
      </c>
      <c r="F7" s="33">
        <f>IFERROR(VLOOKUP(E7,生徒データ!$A$3:$E$146,5,FALSE),"")</f>
        <v/>
      </c>
    </row>
    <row r="8" ht="18" customHeight="1">
      <c r="A8" s="27" t="n">
        <v>2</v>
      </c>
      <c r="B8" s="28" t="inlineStr">
        <is>
          <t>株式会社東海理化電機製作所</t>
        </is>
      </c>
      <c r="C8" s="14" t="inlineStr">
        <is>
          <t>愛知県丹羽郡大口町豊田三丁目260番地</t>
        </is>
      </c>
      <c r="D8" s="29" t="inlineStr">
        <is>
          <t>約1.9km</t>
        </is>
      </c>
      <c r="E8" s="30" t="inlineStr">
        <is>
          <t>2-1-34</t>
        </is>
      </c>
      <c r="F8" s="31">
        <f>IFERROR(VLOOKUP(E8,生徒データ!$A$3:$E$146,5,FALSE),"")</f>
        <v/>
      </c>
    </row>
    <row r="9" ht="18" customHeight="1">
      <c r="E9" s="32" t="inlineStr">
        <is>
          <t>2-1-35</t>
        </is>
      </c>
      <c r="F9" s="33">
        <f>IFERROR(VLOOKUP(E9,生徒データ!$A$3:$E$146,5,FALSE),"")</f>
        <v/>
      </c>
    </row>
    <row r="10" ht="18" customHeight="1">
      <c r="E10" s="30" t="inlineStr">
        <is>
          <t>2-4-29</t>
        </is>
      </c>
      <c r="F10" s="31">
        <f>IFERROR(VLOOKUP(E10,生徒データ!$A$3:$E$146,5,FALSE),"")</f>
        <v/>
      </c>
    </row>
    <row r="11" ht="18" customHeight="1">
      <c r="A11" s="27" t="n">
        <v>3</v>
      </c>
      <c r="B11" s="28" t="inlineStr">
        <is>
          <t>江南郵便局</t>
        </is>
      </c>
      <c r="C11" s="14" t="inlineStr">
        <is>
          <t>江南市赤童子町良原143-1</t>
        </is>
      </c>
      <c r="D11" s="29" t="inlineStr">
        <is>
          <t>約3.6km</t>
        </is>
      </c>
      <c r="E11" s="30" t="inlineStr">
        <is>
          <t>2-1-7</t>
        </is>
      </c>
      <c r="F11" s="31">
        <f>IFERROR(VLOOKUP(E11,生徒データ!$A$3:$E$146,5,FALSE),"")</f>
        <v/>
      </c>
    </row>
    <row r="12" ht="18" customHeight="1">
      <c r="E12" s="32" t="inlineStr">
        <is>
          <t>2-2-3</t>
        </is>
      </c>
      <c r="F12" s="33">
        <f>IFERROR(VLOOKUP(E12,生徒データ!$A$3:$E$146,5,FALSE),"")</f>
        <v/>
      </c>
    </row>
    <row r="13" ht="18" customHeight="1">
      <c r="E13" s="30" t="inlineStr">
        <is>
          <t>2-2-5</t>
        </is>
      </c>
      <c r="F13" s="31">
        <f>IFERROR(VLOOKUP(E13,生徒データ!$A$3:$E$146,5,FALSE),"")</f>
        <v/>
      </c>
    </row>
    <row r="14" ht="16" customHeight="1">
      <c r="A14" s="34" t="inlineStr">
        <is>
          <t>合計　3社 / 8名 / 約8.7km</t>
        </is>
      </c>
    </row>
    <row r="16">
      <c r="A16" s="35" t="inlineStr">
        <is>
          <t>備考・メモ</t>
        </is>
      </c>
    </row>
    <row r="17" ht="18" customHeight="1">
      <c r="A17" s="36" t="inlineStr"/>
    </row>
    <row r="18" ht="18" customHeight="1">
      <c r="A18" s="36" t="inlineStr"/>
    </row>
    <row r="19" ht="18" customHeight="1">
      <c r="A19" s="36" t="inlineStr"/>
    </row>
    <row r="20" ht="18" customHeight="1">
      <c r="A20" s="36" t="inlineStr"/>
    </row>
  </sheetData>
  <mergeCells count="22">
    <mergeCell ref="A16:F16"/>
    <mergeCell ref="A8:A10"/>
    <mergeCell ref="B3:F3"/>
    <mergeCell ref="C11:C13"/>
    <mergeCell ref="D8:D10"/>
    <mergeCell ref="A18:F18"/>
    <mergeCell ref="A6:A7"/>
    <mergeCell ref="A2:F2"/>
    <mergeCell ref="A14:F14"/>
    <mergeCell ref="A17:F17"/>
    <mergeCell ref="A4:F4"/>
    <mergeCell ref="A20:F20"/>
    <mergeCell ref="B6:B7"/>
    <mergeCell ref="A19:F19"/>
    <mergeCell ref="A11:A13"/>
    <mergeCell ref="B11:B13"/>
    <mergeCell ref="B8:B10"/>
    <mergeCell ref="A1:F1"/>
    <mergeCell ref="D11:D13"/>
    <mergeCell ref="C6:C7"/>
    <mergeCell ref="C8:C10"/>
    <mergeCell ref="D6:D7"/>
  </mergeCells>
  <pageMargins left="0.5" right="0.5" top="0.7" bottom="0.7" header="0.5" footer="0.5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8/25(火)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'全日程一覧'!C26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江南市立宮田南保育園</t>
        </is>
      </c>
      <c r="C6" s="14" t="inlineStr">
        <is>
          <t>江南市前飛保町西町　2</t>
        </is>
      </c>
      <c r="D6" s="29" t="inlineStr">
        <is>
          <t>約3.8km</t>
        </is>
      </c>
      <c r="E6" s="30" t="inlineStr">
        <is>
          <t>2-1-18</t>
        </is>
      </c>
      <c r="F6" s="31">
        <f>IFERROR(VLOOKUP(E6,生徒データ!$A$3:$E$146,5,FALSE),"")</f>
        <v/>
      </c>
    </row>
    <row r="7" ht="18" customHeight="1">
      <c r="E7" s="32" t="inlineStr">
        <is>
          <t>2-4-6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江南市立宮田東保育園</t>
        </is>
      </c>
      <c r="C8" s="14" t="inlineStr">
        <is>
          <t>江南市宮田神明町栄174</t>
        </is>
      </c>
      <c r="D8" s="29" t="inlineStr">
        <is>
          <t>約1.7km</t>
        </is>
      </c>
      <c r="E8" s="30" t="inlineStr">
        <is>
          <t>2-1-2</t>
        </is>
      </c>
      <c r="F8" s="31">
        <f>IFERROR(VLOOKUP(E8,生徒データ!$A$3:$E$146,5,FALSE),"")</f>
        <v/>
      </c>
    </row>
    <row r="9" ht="16" customHeight="1">
      <c r="A9" s="34" t="inlineStr">
        <is>
          <t>合計　2社 / 3名 / 約9.6km</t>
        </is>
      </c>
    </row>
    <row r="11">
      <c r="A11" s="35" t="inlineStr">
        <is>
          <t>備考・メモ</t>
        </is>
      </c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</sheetData>
  <mergeCells count="18">
    <mergeCell ref="A2:F2"/>
    <mergeCell ref="A8"/>
    <mergeCell ref="B8"/>
    <mergeCell ref="C8"/>
    <mergeCell ref="A11:F11"/>
    <mergeCell ref="A13:F13"/>
    <mergeCell ref="A14:F14"/>
    <mergeCell ref="A1:F1"/>
    <mergeCell ref="B3:F3"/>
    <mergeCell ref="D8"/>
    <mergeCell ref="A9:F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8/25(火)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'全日程一覧'!C27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株式会社愛知イエローハット　一宮店</t>
        </is>
      </c>
      <c r="C6" s="14" t="inlineStr">
        <is>
          <t>一宮市緑４－３ー１３</t>
        </is>
      </c>
      <c r="D6" s="29" t="inlineStr">
        <is>
          <t>約7.2km</t>
        </is>
      </c>
      <c r="E6" s="30" t="inlineStr">
        <is>
          <t>2-2-2</t>
        </is>
      </c>
      <c r="F6" s="31">
        <f>IFERROR(VLOOKUP(E6,生徒データ!$A$3:$E$146,5,FALSE),"")</f>
        <v/>
      </c>
    </row>
    <row r="7" ht="18" customHeight="1">
      <c r="E7" s="32" t="inlineStr">
        <is>
          <t>2-2-18</t>
        </is>
      </c>
      <c r="F7" s="33">
        <f>IFERROR(VLOOKUP(E7,生徒データ!$A$3:$E$146,5,FALSE),"")</f>
        <v/>
      </c>
    </row>
    <row r="8" ht="18" customHeight="1">
      <c r="A8" s="40" t="n">
        <v>2</v>
      </c>
      <c r="B8" s="28" t="inlineStr">
        <is>
          <t>TJ天気予報 7mm 北名古屋店</t>
        </is>
      </c>
      <c r="C8" s="14" t="inlineStr">
        <is>
          <t>北名古屋市鹿田才海82番2</t>
        </is>
      </c>
      <c r="D8" s="29" t="inlineStr">
        <is>
          <t>約8.9km</t>
        </is>
      </c>
      <c r="E8" s="30" t="inlineStr">
        <is>
          <t>2-1-10</t>
        </is>
      </c>
      <c r="F8" s="31">
        <f>IFERROR(VLOOKUP(E8,生徒データ!$A$3:$E$146,5,FALSE),"")</f>
        <v/>
      </c>
    </row>
    <row r="9" ht="18" customHeight="1">
      <c r="E9" s="32" t="inlineStr">
        <is>
          <t>2-1-31</t>
        </is>
      </c>
      <c r="F9" s="33">
        <f>IFERROR(VLOOKUP(E9,生徒データ!$A$3:$E$146,5,FALSE),"")</f>
        <v/>
      </c>
    </row>
    <row r="10" ht="16" customHeight="1">
      <c r="A10" s="34" t="inlineStr">
        <is>
          <t>合計　2社 / 4名 / 約27.0km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18">
    <mergeCell ref="A2:F2"/>
    <mergeCell ref="A16:F16"/>
    <mergeCell ref="A8:A9"/>
    <mergeCell ref="A10:F10"/>
    <mergeCell ref="C8:C9"/>
    <mergeCell ref="A13:F13"/>
    <mergeCell ref="A14:F14"/>
    <mergeCell ref="A1:F1"/>
    <mergeCell ref="B3:F3"/>
    <mergeCell ref="D8:D9"/>
    <mergeCell ref="B8:B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8/26(水)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'全日程一覧'!C28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株式会社綿半ホームエイド江南店</t>
        </is>
      </c>
      <c r="C6" s="14" t="inlineStr">
        <is>
          <t>江南市上奈良町緑13</t>
        </is>
      </c>
      <c r="D6" s="29" t="inlineStr">
        <is>
          <t>約2.9km</t>
        </is>
      </c>
      <c r="E6" s="30" t="inlineStr">
        <is>
          <t>2-1-9</t>
        </is>
      </c>
      <c r="F6" s="31">
        <f>IFERROR(VLOOKUP(E6,生徒データ!$A$3:$E$146,5,FALSE),"")</f>
        <v/>
      </c>
    </row>
    <row r="7" ht="18" customHeight="1">
      <c r="E7" s="32" t="inlineStr">
        <is>
          <t>2-1-20</t>
        </is>
      </c>
      <c r="F7" s="33">
        <f>IFERROR(VLOOKUP(E7,生徒データ!$A$3:$E$146,5,FALSE),"")</f>
        <v/>
      </c>
    </row>
    <row r="8" ht="18" customHeight="1">
      <c r="A8" s="27" t="n">
        <v>2</v>
      </c>
      <c r="B8" s="28" t="inlineStr">
        <is>
          <t>江南市立布袋東保育園</t>
        </is>
      </c>
      <c r="C8" s="14" t="inlineStr">
        <is>
          <t>江南市小折町八反畑１４７</t>
        </is>
      </c>
      <c r="D8" s="29" t="inlineStr">
        <is>
          <t>約2.9km</t>
        </is>
      </c>
      <c r="E8" s="30" t="inlineStr">
        <is>
          <t>2-1-24</t>
        </is>
      </c>
      <c r="F8" s="31">
        <f>IFERROR(VLOOKUP(E8,生徒データ!$A$3:$E$146,5,FALSE),"")</f>
        <v/>
      </c>
    </row>
    <row r="9" ht="18" customHeight="1">
      <c r="E9" s="32" t="inlineStr">
        <is>
          <t>2-2-10</t>
        </is>
      </c>
      <c r="F9" s="33">
        <f>IFERROR(VLOOKUP(E9,生徒データ!$A$3:$E$146,5,FALSE),"")</f>
        <v/>
      </c>
    </row>
    <row r="10" ht="16" customHeight="1">
      <c r="A10" s="34" t="inlineStr">
        <is>
          <t>合計　2社 / 4名 / 約8.6km</t>
        </is>
      </c>
    </row>
    <row r="12">
      <c r="A12" s="35" t="inlineStr">
        <is>
          <t>備考・メモ</t>
        </is>
      </c>
    </row>
    <row r="13" ht="18" customHeight="1">
      <c r="A13" s="36" t="inlineStr"/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</sheetData>
  <mergeCells count="18">
    <mergeCell ref="A2:F2"/>
    <mergeCell ref="A16:F16"/>
    <mergeCell ref="A8:A9"/>
    <mergeCell ref="A10:F10"/>
    <mergeCell ref="C8:C9"/>
    <mergeCell ref="A13:F13"/>
    <mergeCell ref="A14:F14"/>
    <mergeCell ref="A1:F1"/>
    <mergeCell ref="B3:F3"/>
    <mergeCell ref="D8:D9"/>
    <mergeCell ref="B8:B9"/>
    <mergeCell ref="A12:F12"/>
    <mergeCell ref="A4:F4"/>
    <mergeCell ref="A6:A7"/>
    <mergeCell ref="C6:C7"/>
    <mergeCell ref="D6:D7"/>
    <mergeCell ref="B6:B7"/>
    <mergeCell ref="A15:F15"/>
  </mergeCells>
  <pageMargins left="0.5" right="0.5" top="0.7" bottom="0.7" header="0.5" footer="0.5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8/26(水)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'全日程一覧'!C29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株式会社愛知イエローハット　一宮店</t>
        </is>
      </c>
      <c r="C6" s="14" t="inlineStr">
        <is>
          <t>一宮市緑４－３ー１３</t>
        </is>
      </c>
      <c r="D6" s="29" t="inlineStr">
        <is>
          <t>約7.2km</t>
        </is>
      </c>
      <c r="E6" s="30" t="inlineStr">
        <is>
          <t>2-2-7</t>
        </is>
      </c>
      <c r="F6" s="31">
        <f>IFERROR(VLOOKUP(E6,生徒データ!$A$3:$E$146,5,FALSE),"")</f>
        <v/>
      </c>
    </row>
    <row r="7" ht="18" customHeight="1">
      <c r="E7" s="32" t="inlineStr">
        <is>
          <t>2-3-16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サロンド榮</t>
        </is>
      </c>
      <c r="C8" s="14" t="inlineStr">
        <is>
          <t>一宮市浅野西大土106</t>
        </is>
      </c>
      <c r="D8" s="29" t="inlineStr">
        <is>
          <t>約0.7km</t>
        </is>
      </c>
      <c r="E8" s="30" t="inlineStr">
        <is>
          <t>2-1-26</t>
        </is>
      </c>
      <c r="F8" s="31">
        <f>IFERROR(VLOOKUP(E8,生徒データ!$A$3:$E$146,5,FALSE),"")</f>
        <v/>
      </c>
    </row>
    <row r="9" ht="18" customHeight="1">
      <c r="A9" s="38" t="n">
        <v>3</v>
      </c>
      <c r="B9" s="28" t="inlineStr">
        <is>
          <t>九品寺幼稚園</t>
        </is>
      </c>
      <c r="C9" s="14" t="inlineStr">
        <is>
          <t>一宮市真清田2-14-7</t>
        </is>
      </c>
      <c r="D9" s="29" t="inlineStr">
        <is>
          <t>約2.8km</t>
        </is>
      </c>
      <c r="E9" s="30" t="inlineStr">
        <is>
          <t>2-1-8</t>
        </is>
      </c>
      <c r="F9" s="31">
        <f>IFERROR(VLOOKUP(E9,生徒データ!$A$3:$E$146,5,FALSE),"")</f>
        <v/>
      </c>
    </row>
    <row r="10" ht="18" customHeight="1">
      <c r="E10" s="32" t="inlineStr">
        <is>
          <t>2-4-9</t>
        </is>
      </c>
      <c r="F10" s="33">
        <f>IFERROR(VLOOKUP(E10,生徒データ!$A$3:$E$146,5,FALSE),"")</f>
        <v/>
      </c>
    </row>
    <row r="11" ht="16" customHeight="1">
      <c r="A11" s="34" t="inlineStr">
        <is>
          <t>合計　3社 / 5名 / 約19.1km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22">
    <mergeCell ref="A8"/>
    <mergeCell ref="A16:F16"/>
    <mergeCell ref="C8"/>
    <mergeCell ref="B3:F3"/>
    <mergeCell ref="D8"/>
    <mergeCell ref="A6:A7"/>
    <mergeCell ref="A2:F2"/>
    <mergeCell ref="C9:C10"/>
    <mergeCell ref="A14:F14"/>
    <mergeCell ref="A17:F17"/>
    <mergeCell ref="A4:F4"/>
    <mergeCell ref="B6:B7"/>
    <mergeCell ref="B9:B10"/>
    <mergeCell ref="D9:D10"/>
    <mergeCell ref="A13:F13"/>
    <mergeCell ref="A15:F15"/>
    <mergeCell ref="B8"/>
    <mergeCell ref="A11:F11"/>
    <mergeCell ref="A9:A10"/>
    <mergeCell ref="A1:F1"/>
    <mergeCell ref="C6:C7"/>
    <mergeCell ref="D6:D7"/>
  </mergeCells>
  <pageMargins left="0.5" right="0.5" top="0.7" bottom="0.7" header="0.5" footer="0.5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8/26(水)</t>
        </is>
      </c>
    </row>
    <row r="2" ht="20" customHeight="1">
      <c r="A2" s="39" t="inlineStr">
        <is>
          <t>教員 3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'全日程一覧'!C30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0" t="n">
        <v>1</v>
      </c>
      <c r="B6" s="28" t="inlineStr">
        <is>
          <t>株式会社デンケン</t>
        </is>
      </c>
      <c r="C6" s="14" t="inlineStr">
        <is>
          <t>愛知県犬山市大字羽黒字馬道7番地1</t>
        </is>
      </c>
      <c r="D6" s="29" t="inlineStr">
        <is>
          <t>約7.8km</t>
        </is>
      </c>
      <c r="E6" s="30" t="inlineStr">
        <is>
          <t>2-1-25</t>
        </is>
      </c>
      <c r="F6" s="31">
        <f>IFERROR(VLOOKUP(E6,生徒データ!$A$3:$E$146,5,FALSE),"")</f>
        <v/>
      </c>
    </row>
    <row r="7" ht="18" customHeight="1">
      <c r="E7" s="32" t="inlineStr">
        <is>
          <t>2-4-28</t>
        </is>
      </c>
      <c r="F7" s="33">
        <f>IFERROR(VLOOKUP(E7,生徒データ!$A$3:$E$146,5,FALSE),"")</f>
        <v/>
      </c>
    </row>
    <row r="8" ht="16" customHeight="1">
      <c r="A8" s="34" t="inlineStr">
        <is>
          <t>合計　1社 / 2名 / 約15.5km</t>
        </is>
      </c>
    </row>
    <row r="10">
      <c r="A10" s="35" t="inlineStr">
        <is>
          <t>備考・メモ</t>
        </is>
      </c>
    </row>
    <row r="11" ht="18" customHeight="1">
      <c r="A11" s="36" t="inlineStr"/>
    </row>
    <row r="12" ht="18" customHeight="1">
      <c r="A12" s="36" t="inlineStr"/>
    </row>
    <row r="13" ht="18" customHeight="1">
      <c r="A13" s="36" t="inlineStr"/>
    </row>
    <row r="14" ht="18" customHeight="1">
      <c r="A14" s="36" t="inlineStr"/>
    </row>
  </sheetData>
  <mergeCells count="14">
    <mergeCell ref="A2:F2"/>
    <mergeCell ref="A11:F11"/>
    <mergeCell ref="A10:F10"/>
    <mergeCell ref="A13:F13"/>
    <mergeCell ref="A14:F14"/>
    <mergeCell ref="A1:F1"/>
    <mergeCell ref="B3:F3"/>
    <mergeCell ref="A8:F8"/>
    <mergeCell ref="A12:F12"/>
    <mergeCell ref="A4:F4"/>
    <mergeCell ref="A6:A7"/>
    <mergeCell ref="C6:C7"/>
    <mergeCell ref="D6:D7"/>
    <mergeCell ref="B6:B7"/>
  </mergeCells>
  <pageMargins left="0.5" right="0.5" top="0.7" bottom="0.7" header="0.5" footer="0.5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8/26(水)</t>
        </is>
      </c>
    </row>
    <row r="2" ht="20" customHeight="1">
      <c r="A2" s="41" t="inlineStr">
        <is>
          <t>教員 4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'全日程一覧'!C31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42" t="n">
        <v>1</v>
      </c>
      <c r="B6" s="28" t="inlineStr">
        <is>
          <t>アメーテールアーム</t>
        </is>
      </c>
      <c r="C6" s="14" t="inlineStr">
        <is>
          <t>愛知県小牧市市之久田1-73-1</t>
        </is>
      </c>
      <c r="D6" s="29" t="inlineStr">
        <is>
          <t>約7.1km</t>
        </is>
      </c>
      <c r="E6" s="30" t="inlineStr">
        <is>
          <t>2-1-12</t>
        </is>
      </c>
      <c r="F6" s="31">
        <f>IFERROR(VLOOKUP(E6,生徒データ!$A$3:$E$146,5,FALSE),"")</f>
        <v/>
      </c>
    </row>
    <row r="7" ht="18" customHeight="1">
      <c r="E7" s="32" t="inlineStr">
        <is>
          <t>2-4-10</t>
        </is>
      </c>
      <c r="F7" s="33">
        <f>IFERROR(VLOOKUP(E7,生徒データ!$A$3:$E$146,5,FALSE),"")</f>
        <v/>
      </c>
    </row>
    <row r="8" ht="18" customHeight="1">
      <c r="A8" s="42" t="n">
        <v>2</v>
      </c>
      <c r="B8" s="28" t="inlineStr">
        <is>
          <t>アイカテック建材株式会社名古屋工場</t>
        </is>
      </c>
      <c r="C8" s="14" t="inlineStr">
        <is>
          <t>愛知県海部郡大治町大字西條字西之川２５</t>
        </is>
      </c>
      <c r="D8" s="29" t="inlineStr">
        <is>
          <t>約13.9km</t>
        </is>
      </c>
      <c r="E8" s="30" t="inlineStr">
        <is>
          <t>2-3-5</t>
        </is>
      </c>
      <c r="F8" s="31">
        <f>IFERROR(VLOOKUP(E8,生徒データ!$A$3:$E$146,5,FALSE),"")</f>
        <v/>
      </c>
    </row>
    <row r="9" ht="18" customHeight="1">
      <c r="E9" s="32" t="inlineStr">
        <is>
          <t>2-3-19</t>
        </is>
      </c>
      <c r="F9" s="33">
        <f>IFERROR(VLOOKUP(E9,生徒データ!$A$3:$E$146,5,FALSE),"")</f>
        <v/>
      </c>
    </row>
    <row r="10" ht="18" customHeight="1">
      <c r="E10" s="30" t="inlineStr">
        <is>
          <t>2-4-17</t>
        </is>
      </c>
      <c r="F10" s="31">
        <f>IFERROR(VLOOKUP(E10,生徒データ!$A$3:$E$146,5,FALSE),"")</f>
        <v/>
      </c>
    </row>
    <row r="11" ht="16" customHeight="1">
      <c r="A11" s="34" t="inlineStr">
        <is>
          <t>合計　2社 / 5名 / 約38.7km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18">
    <mergeCell ref="A2:F2"/>
    <mergeCell ref="A11:F11"/>
    <mergeCell ref="A16:F16"/>
    <mergeCell ref="C8:C10"/>
    <mergeCell ref="A8:A10"/>
    <mergeCell ref="A13:F13"/>
    <mergeCell ref="A14:F14"/>
    <mergeCell ref="A1:F1"/>
    <mergeCell ref="B3:F3"/>
    <mergeCell ref="D8:D10"/>
    <mergeCell ref="B8:B10"/>
    <mergeCell ref="A4:F4"/>
    <mergeCell ref="A6:A7"/>
    <mergeCell ref="C6:C7"/>
    <mergeCell ref="D6:D7"/>
    <mergeCell ref="B6:B7"/>
    <mergeCell ref="A17:F17"/>
    <mergeCell ref="A15:F15"/>
  </mergeCells>
  <pageMargins left="0.5" right="0.5" top="0.7" bottom="0.7" header="0.5" footer="0.5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8/27(木)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'全日程一覧'!C32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株式会社林商店</t>
        </is>
      </c>
      <c r="C6" s="14" t="inlineStr">
        <is>
          <t>愛知県江南市野白町東千丸88</t>
        </is>
      </c>
      <c r="D6" s="29" t="inlineStr">
        <is>
          <t>約1.7km</t>
        </is>
      </c>
      <c r="E6" s="30" t="inlineStr">
        <is>
          <t>2-4-15</t>
        </is>
      </c>
      <c r="F6" s="31">
        <f>IFERROR(VLOOKUP(E6,生徒データ!$A$3:$E$146,5,FALSE),"")</f>
        <v/>
      </c>
    </row>
    <row r="7" ht="18" customHeight="1">
      <c r="E7" s="32" t="inlineStr">
        <is>
          <t>2-4-19</t>
        </is>
      </c>
      <c r="F7" s="33">
        <f>IFERROR(VLOOKUP(E7,生徒データ!$A$3:$E$146,5,FALSE),"")</f>
        <v/>
      </c>
    </row>
    <row r="8" ht="18" customHeight="1">
      <c r="A8" s="27" t="n">
        <v>2</v>
      </c>
      <c r="B8" s="28" t="inlineStr">
        <is>
          <t>江南市立宮田保育園</t>
        </is>
      </c>
      <c r="C8" s="14" t="inlineStr">
        <is>
          <t>江南市飛保町新開23</t>
        </is>
      </c>
      <c r="D8" s="29" t="inlineStr">
        <is>
          <t>約1.1km</t>
        </is>
      </c>
      <c r="E8" s="30" t="inlineStr">
        <is>
          <t>2-1-30</t>
        </is>
      </c>
      <c r="F8" s="31">
        <f>IFERROR(VLOOKUP(E8,生徒データ!$A$3:$E$146,5,FALSE),"")</f>
        <v/>
      </c>
    </row>
    <row r="9" ht="18" customHeight="1">
      <c r="E9" s="32" t="inlineStr">
        <is>
          <t>2-2-19</t>
        </is>
      </c>
      <c r="F9" s="33">
        <f>IFERROR(VLOOKUP(E9,生徒データ!$A$3:$E$146,5,FALSE),"")</f>
        <v/>
      </c>
    </row>
    <row r="10" ht="18" customHeight="1">
      <c r="A10" s="27" t="n">
        <v>3</v>
      </c>
      <c r="B10" s="28" t="inlineStr">
        <is>
          <t>株式会社デンケン</t>
        </is>
      </c>
      <c r="C10" s="14" t="inlineStr">
        <is>
          <t>愛知県犬山市大字羽黒字馬道7番地1</t>
        </is>
      </c>
      <c r="D10" s="29" t="inlineStr">
        <is>
          <t>約9.9km</t>
        </is>
      </c>
      <c r="E10" s="30" t="inlineStr">
        <is>
          <t>2-3-14</t>
        </is>
      </c>
      <c r="F10" s="31">
        <f>IFERROR(VLOOKUP(E10,生徒データ!$A$3:$E$146,5,FALSE),"")</f>
        <v/>
      </c>
    </row>
    <row r="11" ht="18" customHeight="1">
      <c r="E11" s="32" t="inlineStr">
        <is>
          <t>2-4-16</t>
        </is>
      </c>
      <c r="F11" s="33">
        <f>IFERROR(VLOOKUP(E11,生徒データ!$A$3:$E$146,5,FALSE),"")</f>
        <v/>
      </c>
    </row>
    <row r="12" ht="16" customHeight="1">
      <c r="A12" s="34" t="inlineStr">
        <is>
          <t>合計　3社 / 6名 / 約20.5km</t>
        </is>
      </c>
    </row>
    <row r="14">
      <c r="A14" s="35" t="inlineStr">
        <is>
          <t>備考・メモ</t>
        </is>
      </c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  <row r="18" ht="18" customHeight="1">
      <c r="A18" s="36" t="inlineStr"/>
    </row>
  </sheetData>
  <mergeCells count="22">
    <mergeCell ref="A16:F16"/>
    <mergeCell ref="B3:F3"/>
    <mergeCell ref="B8:B9"/>
    <mergeCell ref="A12:F12"/>
    <mergeCell ref="A18:F18"/>
    <mergeCell ref="C10:C11"/>
    <mergeCell ref="A6:A7"/>
    <mergeCell ref="A2:F2"/>
    <mergeCell ref="A14:F14"/>
    <mergeCell ref="A17:F17"/>
    <mergeCell ref="A4:F4"/>
    <mergeCell ref="B10:B11"/>
    <mergeCell ref="B6:B7"/>
    <mergeCell ref="A8:A9"/>
    <mergeCell ref="C8:C9"/>
    <mergeCell ref="D8:D9"/>
    <mergeCell ref="A10:A11"/>
    <mergeCell ref="A15:F15"/>
    <mergeCell ref="D10:D11"/>
    <mergeCell ref="A1:F1"/>
    <mergeCell ref="C6:C7"/>
    <mergeCell ref="D6:D7"/>
  </mergeCells>
  <pageMargins left="0.5" right="0.5" top="0.7" bottom="0.7" header="0.5" footer="0.5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8/27(木)</t>
        </is>
      </c>
    </row>
    <row r="2" ht="20" customHeight="1">
      <c r="A2" s="37" t="inlineStr">
        <is>
          <t>教員 2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'全日程一覧'!C33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38" t="n">
        <v>1</v>
      </c>
      <c r="B6" s="28" t="inlineStr">
        <is>
          <t>江南市立布袋東保育園</t>
        </is>
      </c>
      <c r="C6" s="14" t="inlineStr">
        <is>
          <t>江南市小折町八反畑１４７</t>
        </is>
      </c>
      <c r="D6" s="29" t="inlineStr">
        <is>
          <t>約2.9km</t>
        </is>
      </c>
      <c r="E6" s="30" t="inlineStr">
        <is>
          <t>2-3-6</t>
        </is>
      </c>
      <c r="F6" s="31">
        <f>IFERROR(VLOOKUP(E6,生徒データ!$A$3:$E$146,5,FALSE),"")</f>
        <v/>
      </c>
    </row>
    <row r="7" ht="18" customHeight="1">
      <c r="E7" s="32" t="inlineStr">
        <is>
          <t>2-4-23</t>
        </is>
      </c>
      <c r="F7" s="33">
        <f>IFERROR(VLOOKUP(E7,生徒データ!$A$3:$E$146,5,FALSE),"")</f>
        <v/>
      </c>
    </row>
    <row r="8" ht="18" customHeight="1">
      <c r="A8" s="38" t="n">
        <v>2</v>
      </c>
      <c r="B8" s="28" t="inlineStr">
        <is>
          <t>株式会社愛知イエローハット　一宮店</t>
        </is>
      </c>
      <c r="C8" s="14" t="inlineStr">
        <is>
          <t>一宮市緑４－３ー１３</t>
        </is>
      </c>
      <c r="D8" s="29" t="inlineStr">
        <is>
          <t>約5.0km</t>
        </is>
      </c>
      <c r="E8" s="30" t="inlineStr">
        <is>
          <t>2-2-16</t>
        </is>
      </c>
      <c r="F8" s="31">
        <f>IFERROR(VLOOKUP(E8,生徒データ!$A$3:$E$146,5,FALSE),"")</f>
        <v/>
      </c>
    </row>
    <row r="9" ht="18" customHeight="1">
      <c r="E9" s="32" t="inlineStr">
        <is>
          <t>2-3-7</t>
        </is>
      </c>
      <c r="F9" s="33">
        <f>IFERROR(VLOOKUP(E9,生徒データ!$A$3:$E$146,5,FALSE),"")</f>
        <v/>
      </c>
    </row>
    <row r="10" ht="18" customHeight="1">
      <c r="A10" s="38" t="n">
        <v>3</v>
      </c>
      <c r="B10" s="28" t="inlineStr">
        <is>
          <t>FUSION</t>
        </is>
      </c>
      <c r="C10" s="14" t="inlineStr">
        <is>
          <t>一宮市大江2-9-19</t>
        </is>
      </c>
      <c r="D10" s="29" t="inlineStr">
        <is>
          <t>約1.8km</t>
        </is>
      </c>
      <c r="E10" s="30" t="inlineStr">
        <is>
          <t>2-2-17</t>
        </is>
      </c>
      <c r="F10" s="31">
        <f>IFERROR(VLOOKUP(E10,生徒データ!$A$3:$E$146,5,FALSE),"")</f>
        <v/>
      </c>
    </row>
    <row r="11" ht="16" customHeight="1">
      <c r="A11" s="34" t="inlineStr">
        <is>
          <t>合計　3社 / 5名 / 約18.3km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22">
    <mergeCell ref="A16:F16"/>
    <mergeCell ref="B3:F3"/>
    <mergeCell ref="B8:B9"/>
    <mergeCell ref="A10"/>
    <mergeCell ref="A6:A7"/>
    <mergeCell ref="A2:F2"/>
    <mergeCell ref="A14:F14"/>
    <mergeCell ref="D10"/>
    <mergeCell ref="A17:F17"/>
    <mergeCell ref="A4:F4"/>
    <mergeCell ref="B6:B7"/>
    <mergeCell ref="A8:A9"/>
    <mergeCell ref="C8:C9"/>
    <mergeCell ref="A13:F13"/>
    <mergeCell ref="D8:D9"/>
    <mergeCell ref="C10"/>
    <mergeCell ref="A15:F15"/>
    <mergeCell ref="A11:F11"/>
    <mergeCell ref="A1:F1"/>
    <mergeCell ref="B10"/>
    <mergeCell ref="C6:C7"/>
    <mergeCell ref="D6:D7"/>
  </mergeCells>
  <pageMargins left="0.5" right="0.5" top="0.7" bottom="0.7" header="0.5" footer="0.5"/>
  <pageSetup orientation="portrait" paperSize="9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0" customWidth="1" min="4" max="4"/>
    <col width="9" customWidth="1" min="5" max="5"/>
    <col width="14" customWidth="1" min="6" max="6"/>
  </cols>
  <sheetData>
    <row r="1" ht="32" customHeight="1">
      <c r="A1" s="6" t="inlineStr">
        <is>
          <t>見回り担当シート　8/28(金)</t>
        </is>
      </c>
    </row>
    <row r="2" ht="20" customHeight="1">
      <c r="A2" s="23" t="inlineStr">
        <is>
          <t>教員 1　担当　　※このシートを持参してください</t>
        </is>
      </c>
    </row>
    <row r="3" ht="28" customHeight="1">
      <c r="A3" s="24" t="inlineStr">
        <is>
          <t>氏名</t>
        </is>
      </c>
      <c r="B3" s="25">
        <f>'全日程一覧'!C34</f>
        <v/>
      </c>
    </row>
    <row r="4" ht="16" customHeight="1">
      <c r="A4" s="26" t="inlineStr">
        <is>
          <t>※距離は大まかな目安です。実際の経路・所要時間は各自でご確認ください。</t>
        </is>
      </c>
    </row>
    <row r="5" ht="18" customHeight="1">
      <c r="A5" s="2" t="inlineStr">
        <is>
          <t>順</t>
        </is>
      </c>
      <c r="B5" s="2" t="inlineStr">
        <is>
          <t>企業名</t>
        </is>
      </c>
      <c r="C5" s="2" t="inlineStr">
        <is>
          <t>住　所</t>
        </is>
      </c>
      <c r="D5" s="2" t="inlineStr">
        <is>
          <t>距離目安</t>
        </is>
      </c>
      <c r="E5" s="2" t="inlineStr">
        <is>
          <t>生徒ID</t>
        </is>
      </c>
      <c r="F5" s="2" t="inlineStr">
        <is>
          <t>氏名</t>
        </is>
      </c>
    </row>
    <row r="6" ht="18" customHeight="1">
      <c r="A6" s="27" t="n">
        <v>1</v>
      </c>
      <c r="B6" s="28" t="inlineStr">
        <is>
          <t>江南市立布袋北保育園</t>
        </is>
      </c>
      <c r="C6" s="14" t="inlineStr">
        <is>
          <t>江南市安良町八王子137</t>
        </is>
      </c>
      <c r="D6" s="29" t="inlineStr">
        <is>
          <t>約1.3km</t>
        </is>
      </c>
      <c r="E6" s="30" t="inlineStr">
        <is>
          <t>2-1-23</t>
        </is>
      </c>
      <c r="F6" s="31">
        <f>IFERROR(VLOOKUP(E6,生徒データ!$A$3:$E$146,5,FALSE),"")</f>
        <v/>
      </c>
    </row>
    <row r="7" ht="18" customHeight="1">
      <c r="A7" s="27" t="n">
        <v>2</v>
      </c>
      <c r="B7" s="28" t="inlineStr">
        <is>
          <t>江南市立古知野北保育園</t>
        </is>
      </c>
      <c r="C7" s="14" t="inlineStr">
        <is>
          <t>江南市勝佐町田代137番地</t>
        </is>
      </c>
      <c r="D7" s="29" t="inlineStr">
        <is>
          <t>約3.3km</t>
        </is>
      </c>
      <c r="E7" s="30" t="inlineStr">
        <is>
          <t>2-1-4</t>
        </is>
      </c>
      <c r="F7" s="31">
        <f>IFERROR(VLOOKUP(E7,生徒データ!$A$3:$E$146,5,FALSE),"")</f>
        <v/>
      </c>
    </row>
    <row r="8" ht="18" customHeight="1">
      <c r="E8" s="32" t="inlineStr">
        <is>
          <t>2-3-2</t>
        </is>
      </c>
      <c r="F8" s="33">
        <f>IFERROR(VLOOKUP(E8,生徒データ!$A$3:$E$146,5,FALSE),"")</f>
        <v/>
      </c>
    </row>
    <row r="9" ht="18" customHeight="1">
      <c r="E9" s="30" t="inlineStr">
        <is>
          <t>2-3-4</t>
        </is>
      </c>
      <c r="F9" s="31">
        <f>IFERROR(VLOOKUP(E9,生徒データ!$A$3:$E$146,5,FALSE),"")</f>
        <v/>
      </c>
    </row>
    <row r="10" ht="18" customHeight="1">
      <c r="E10" s="32" t="inlineStr">
        <is>
          <t>2-3-9</t>
        </is>
      </c>
      <c r="F10" s="33">
        <f>IFERROR(VLOOKUP(E10,生徒データ!$A$3:$E$146,5,FALSE),"")</f>
        <v/>
      </c>
    </row>
    <row r="11" ht="16" customHeight="1">
      <c r="A11" s="34" t="inlineStr">
        <is>
          <t>合計　2社 / 5名 / 約7.0km</t>
        </is>
      </c>
    </row>
    <row r="13">
      <c r="A13" s="35" t="inlineStr">
        <is>
          <t>備考・メモ</t>
        </is>
      </c>
    </row>
    <row r="14" ht="18" customHeight="1">
      <c r="A14" s="36" t="inlineStr"/>
    </row>
    <row r="15" ht="18" customHeight="1">
      <c r="A15" s="36" t="inlineStr"/>
    </row>
    <row r="16" ht="18" customHeight="1">
      <c r="A16" s="36" t="inlineStr"/>
    </row>
    <row r="17" ht="18" customHeight="1">
      <c r="A17" s="36" t="inlineStr"/>
    </row>
  </sheetData>
  <mergeCells count="18">
    <mergeCell ref="A2:F2"/>
    <mergeCell ref="A11:F11"/>
    <mergeCell ref="A6"/>
    <mergeCell ref="A16:F16"/>
    <mergeCell ref="A7:A10"/>
    <mergeCell ref="A13:F13"/>
    <mergeCell ref="A14:F14"/>
    <mergeCell ref="A1:F1"/>
    <mergeCell ref="B3:F3"/>
    <mergeCell ref="D6"/>
    <mergeCell ref="B6"/>
    <mergeCell ref="C6"/>
    <mergeCell ref="A17:F17"/>
    <mergeCell ref="C7:C10"/>
    <mergeCell ref="A4:F4"/>
    <mergeCell ref="B7:B10"/>
    <mergeCell ref="D7:D10"/>
    <mergeCell ref="A15:F15"/>
  </mergeCells>
  <pageMargins left="0.5" right="0.5" top="0.7" bottom="0.7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2026-07-14T02:05:12Z</dcterms:created>
  <dcterms:modified xmlns:dcterms="http://purl.org/dc/terms/" xmlns:xsi="http://www.w3.org/2001/XMLSchema-instance" xsi:type="dcterms:W3CDTF">2026-07-14T02:05:12Z</dcterms:modified>
</cp:coreProperties>
</file>